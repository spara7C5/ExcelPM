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fanoParacchino\DEV\MYDEV\GIT\ExcelProjectManager\"/>
    </mc:Choice>
  </mc:AlternateContent>
  <xr:revisionPtr revIDLastSave="0" documentId="13_ncr:1_{AF977C9A-9C8C-48DF-9CF5-F28337A5F0E1}" xr6:coauthVersionLast="47" xr6:coauthVersionMax="47" xr10:uidLastSave="{00000000-0000-0000-0000-000000000000}"/>
  <bookViews>
    <workbookView xWindow="-108" yWindow="-108" windowWidth="23256" windowHeight="12456" xr2:uid="{73E8ABFB-8EEA-4870-A284-22ED9B50B6C6}"/>
  </bookViews>
  <sheets>
    <sheet name="Control Panel" sheetId="179" r:id="rId1"/>
    <sheet name="FRTemplate" sheetId="5" r:id="rId2"/>
    <sheet name="Variables" sheetId="154" state="hidden" r:id="rId3"/>
    <sheet name="7000v11" sheetId="193" r:id="rId4"/>
  </sheets>
  <functionGroups builtInGroupCount="19"/>
  <definedNames>
    <definedName name="n_7000v11_st">Variables!$A$8:$A$11</definedName>
    <definedName name="n_7000v110001_st">Variables!$A$2:$A$6</definedName>
    <definedName name="n_7000v110008_st">Variables!$A$14:$A$18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1" i="193" l="1"/>
  <c r="G51" i="193"/>
  <c r="F51" i="193"/>
  <c r="E51" i="193"/>
  <c r="D51" i="193"/>
  <c r="C51" i="193"/>
  <c r="B51" i="193"/>
  <c r="A51" i="193"/>
  <c r="H21" i="193"/>
  <c r="G21" i="193"/>
  <c r="F21" i="193"/>
  <c r="E21" i="193"/>
  <c r="D21" i="193"/>
  <c r="C21" i="193"/>
  <c r="B21" i="193"/>
  <c r="A21" i="193"/>
</calcChain>
</file>

<file path=xl/sharedStrings.xml><?xml version="1.0" encoding="utf-8"?>
<sst xmlns="http://schemas.openxmlformats.org/spreadsheetml/2006/main" count="124" uniqueCount="45">
  <si>
    <t>Owner</t>
  </si>
  <si>
    <t>SW Development Phases</t>
  </si>
  <si>
    <t>ITEM Work calculation at key-on</t>
  </si>
  <si>
    <t>Requirement Specification</t>
  </si>
  <si>
    <t>Requirement Specification Analysis</t>
  </si>
  <si>
    <t>FR Frozen</t>
  </si>
  <si>
    <t>Requirement Specification Analysis (Supervisor)</t>
  </si>
  <si>
    <t>Code Implementation</t>
  </si>
  <si>
    <t>Data structure implementation (Mercury)</t>
  </si>
  <si>
    <t>Modelling</t>
  </si>
  <si>
    <t>Modelling (Supervisor)</t>
  </si>
  <si>
    <t>Model Testing (MIL +  Model Advisor)</t>
  </si>
  <si>
    <t>Model Testing (MIL +  Model Advisor) (Supervisor)</t>
  </si>
  <si>
    <t>Design Frozen</t>
  </si>
  <si>
    <t>Code Integration in the ECU platform (with successful Compilation)</t>
  </si>
  <si>
    <t>Software Testing</t>
  </si>
  <si>
    <t>Unit Test + Polyspace</t>
  </si>
  <si>
    <t>Implemented</t>
  </si>
  <si>
    <t>Unit Test + Polyspace (Supervisor)</t>
  </si>
  <si>
    <t>Documentation</t>
  </si>
  <si>
    <t>Requirements Mapping (Polarion Connector)</t>
  </si>
  <si>
    <t>Delivery - Versioning</t>
  </si>
  <si>
    <t>SVN Versioning</t>
  </si>
  <si>
    <t>Delivered</t>
  </si>
  <si>
    <t>ClearCase + Polarion</t>
  </si>
  <si>
    <t>Post delivery</t>
  </si>
  <si>
    <t>Support Post Delivery</t>
  </si>
  <si>
    <t>Support Post Delivery (Supervisor)</t>
  </si>
  <si>
    <t>Other</t>
  </si>
  <si>
    <t xml:space="preserve"> Other</t>
  </si>
  <si>
    <t xml:space="preserve"> Other (Supervisor)</t>
  </si>
  <si>
    <t>Comments</t>
  </si>
  <si>
    <t>Final Effort</t>
  </si>
  <si>
    <t>Actual Effort</t>
  </si>
  <si>
    <t>Init Effort</t>
  </si>
  <si>
    <t>Task</t>
  </si>
  <si>
    <t>$A$1</t>
  </si>
  <si>
    <t>$A$2:$H$21</t>
  </si>
  <si>
    <t>$A$1:$H$19</t>
  </si>
  <si>
    <t>7000v110001</t>
  </si>
  <si>
    <t>7000v11</t>
  </si>
  <si>
    <t>$A$49</t>
  </si>
  <si>
    <t>7000v110008</t>
  </si>
  <si>
    <t>$A$50:$H$69</t>
  </si>
  <si>
    <t>$A$70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</si>
</sst>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8"/>
      <name val="Arial"/>
      <family val="2"/>
    </font>
    <font>
      <b/>
      <i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1"/>
    </font>
    <font>
      <sz val="8"/>
      <name val="Arial"/>
      <family val="2"/>
      <charset val="1"/>
    </font>
    <font>
      <i/>
      <sz val="8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rgb="FFFFE4C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/>
    <xf numFmtId="0" fontId="4" fillId="0" borderId="0"/>
  </cellStyleXfs>
  <cellXfs count="30">
    <xf numFmtId="0" fontId="0" fillId="0" borderId="0" xfId="0"/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center" vertical="center"/>
    </xf>
    <xf numFmtId="164" fontId="3" fillId="4" borderId="4" xfId="0" applyNumberFormat="1" applyFont="1" applyFill="1" applyBorder="1" applyAlignment="1">
      <alignment horizontal="right" vertical="center"/>
    </xf>
    <xf numFmtId="164" fontId="3" fillId="4" borderId="1" xfId="0" applyNumberFormat="1" applyFont="1" applyFill="1" applyBorder="1" applyAlignment="1">
      <alignment horizontal="right" vertical="center"/>
    </xf>
    <xf numFmtId="0" fontId="3" fillId="4" borderId="4" xfId="0" applyFont="1" applyFill="1" applyBorder="1" applyAlignment="1">
      <alignment horizontal="left" vertical="center"/>
    </xf>
    <xf numFmtId="164" fontId="5" fillId="5" borderId="5" xfId="1" applyNumberFormat="1" applyFont="1" applyFill="1" applyBorder="1" applyAlignment="1">
      <alignment horizontal="right" vertical="center"/>
    </xf>
    <xf numFmtId="0" fontId="2" fillId="4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horizontal="left" vertical="center" wrapText="1"/>
    </xf>
    <xf numFmtId="0" fontId="1" fillId="4" borderId="4" xfId="0" applyFont="1" applyFill="1" applyBorder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64" fontId="3" fillId="4" borderId="9" xfId="0" applyNumberFormat="1" applyFont="1" applyFill="1" applyBorder="1" applyAlignment="1">
      <alignment horizontal="right" vertical="center"/>
    </xf>
    <xf numFmtId="0" fontId="3" fillId="4" borderId="9" xfId="0" applyFont="1" applyFill="1" applyBorder="1" applyAlignment="1">
      <alignment vertical="center" wrapText="1"/>
    </xf>
    <xf numFmtId="164" fontId="3" fillId="4" borderId="8" xfId="0" applyNumberFormat="1" applyFont="1" applyFill="1" applyBorder="1" applyAlignment="1">
      <alignment horizontal="right" vertical="center"/>
    </xf>
    <xf numFmtId="164" fontId="5" fillId="5" borderId="10" xfId="0" applyNumberFormat="1" applyFont="1" applyFill="1" applyBorder="1" applyAlignment="1">
      <alignment horizontal="right" vertical="center"/>
    </xf>
    <xf numFmtId="0" fontId="7" fillId="6" borderId="0" xfId="0" applyFont="1" applyFill="1" applyAlignment="1">
      <alignment horizontal="center"/>
    </xf>
  </cellXfs>
  <cellStyles count="2">
    <cellStyle name="Excel Built-in Normal" xfId="1" xr:uid="{97B716F5-B41A-48AC-9CAC-D73E2DE2674C}"/>
    <cellStyle name="Normal" xfId="0" builtinId="0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167640</xdr:colOff>
          <xdr:row>10</xdr:row>
          <xdr:rowOff>144780</xdr:rowOff>
        </xdr:from>
        <xdr:to>
          <xdr:col>12</xdr:col>
          <xdr:colOff>38100</xdr:colOff>
          <xdr:row>13</xdr:row>
          <xdr:rowOff>76200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074881-1247-400B-86A2-493E55F24E36}" name="7000v110001" displayName="_7000v110001" ref="A2:H21" totalsRowCount="1" headerRowDxfId="31" tableBorderDxfId="30">
  <autoFilter ref="A2:H20" xr:uid="{FE074881-1247-400B-86A2-493E55F24E36}"/>
  <tableColumns count="8">
    <tableColumn id="1" xr3:uid="{98F99D09-C115-47FA-8ED6-8D224F6EF278}" name="SW Development Phases" totalsRowFunction="sum"/>
    <tableColumn id="2" xr3:uid="{07C38778-E2A4-4C7A-B101-147A5A6F632B}" name="Task" totalsRowFunction="sum" dataDxfId="29" totalsRowDxfId="13"/>
    <tableColumn id="3" xr3:uid="{A9A3BC44-4988-4B3A-B992-71E9AF477E82}" name="Owner" totalsRowFunction="sum" dataDxfId="28" totalsRowDxfId="12"/>
    <tableColumn id="4" xr3:uid="{263BB113-9717-46A3-AFEA-70F827545E3A}" name="Init Effort" totalsRowFunction="sum" dataDxfId="27" totalsRowDxfId="11"/>
    <tableColumn id="5" xr3:uid="{8F1BBF74-537C-45EC-B09C-A09E6AB34403}" name="Final Effort" totalsRowFunction="sum" dataDxfId="26" totalsRowDxfId="10" dataCellStyle="Excel Built-in Normal"/>
    <tableColumn id="6" xr3:uid="{EF24408D-709F-4A11-8B1A-9EF46BF2A6C3}" name="Actual Effort" totalsRowFunction="sum" dataDxfId="25" totalsRowDxfId="9" dataCellStyle="Excel Built-in Normal"/>
    <tableColumn id="7" xr3:uid="{AB2DD33F-0109-4C76-A576-877193D88940}" name="Comments" totalsRowFunction="sum" dataDxfId="24" totalsRowDxfId="8"/>
    <tableColumn id="8" xr3:uid="{BA7C9A68-BA87-46A9-B881-C55E6FDB6844}" name="ITEM Work calculation at key-on" totalsRowFunction="sum" dataDxfId="23" totalsRow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614B04-2B3A-4B4C-AB13-1D6CDF045CD5}" name="7000v110008" displayName="_7000v110008" ref="A32:H51" totalsRowCount="1" headerRowDxfId="22" tableBorderDxfId="21">
  <autoFilter ref="A32:H50" xr:uid="{8F614B04-2B3A-4B4C-AB13-1D6CDF045CD5}"/>
  <tableColumns count="8">
    <tableColumn id="1" xr3:uid="{9EDBD8E5-C318-4376-A776-3E92BEF1DD07}" name="SW Development Phases" totalsRowFunction="sum"/>
    <tableColumn id="2" xr3:uid="{A7CD55D1-1714-44A1-A68C-871A2E43A850}" name="Task" totalsRowFunction="sum" dataDxfId="20" totalsRowDxfId="6"/>
    <tableColumn id="3" xr3:uid="{C8DAB629-20E0-4A49-B787-C77A16DAD34B}" name="Owner" totalsRowFunction="sum" dataDxfId="19" totalsRowDxfId="5"/>
    <tableColumn id="4" xr3:uid="{1447B471-423B-4585-AF4D-DA305D71D99D}" name="Init Effort" totalsRowFunction="sum" dataDxfId="18" totalsRowDxfId="4"/>
    <tableColumn id="5" xr3:uid="{4D9CE4AF-40A8-4DFD-901E-DF5B840845D6}" name="Final Effort" totalsRowFunction="sum" dataDxfId="17" totalsRowDxfId="3" dataCellStyle="Excel Built-in Normal"/>
    <tableColumn id="6" xr3:uid="{3E79CED7-D6CE-416D-9B94-9D1DDD7AD483}" name="Actual Effort" totalsRowFunction="sum" dataDxfId="16" totalsRowDxfId="2" dataCellStyle="Excel Built-in Normal"/>
    <tableColumn id="7" xr3:uid="{02997945-1AD7-482E-9CDA-24B6BC740803}" name="Comments" totalsRowFunction="sum" dataDxfId="15" totalsRowDxfId="1"/>
    <tableColumn id="8" xr3:uid="{27336277-8A35-4537-A712-3C2F61A075FB}" name="ITEM Work calculation at key-on" totalsRowFunction="sum" dataDxfId="14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4D3A-3D3A-44E1-8266-C8B97B70BD4C}">
  <sheetPr codeName="Sheet10"/>
  <dimension ref="A1"/>
  <sheetViews>
    <sheetView tabSelected="1" workbookViewId="0">
      <selection activeCell="S1" sqref="S1:S1048576"/>
    </sheetView>
  </sheetViews>
  <sheetFormatPr defaultRowHeight="14.4" x14ac:dyDescent="0.3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3_Click">
                <anchor moveWithCells="1">
                  <from>
                    <xdr:col>8</xdr:col>
                    <xdr:colOff>167640</xdr:colOff>
                    <xdr:row>10</xdr:row>
                    <xdr:rowOff>144780</xdr:rowOff>
                  </from>
                  <to>
                    <xdr:col>12</xdr:col>
                    <xdr:colOff>38100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A607-87E1-490C-8985-54EECD4D89FA}">
  <sheetPr codeName="Sheet5"/>
  <dimension ref="A1:H19"/>
  <sheetViews>
    <sheetView workbookViewId="0">
      <selection activeCell="K8" sqref="K8"/>
    </sheetView>
  </sheetViews>
  <sheetFormatPr defaultRowHeight="14.4" x14ac:dyDescent="0.3"/>
  <cols>
    <col min="1" max="1" width="18.44140625" customWidth="1"/>
    <col min="2" max="2" width="17.77734375" customWidth="1"/>
    <col min="3" max="3" width="15.6640625" customWidth="1"/>
    <col min="4" max="4" width="15.33203125" customWidth="1"/>
    <col min="5" max="5" width="13.88671875" customWidth="1"/>
    <col min="6" max="6" width="14.33203125" customWidth="1"/>
    <col min="7" max="7" width="21.6640625" customWidth="1"/>
    <col min="8" max="8" width="29.88671875" customWidth="1"/>
  </cols>
  <sheetData>
    <row r="1" spans="1:8" ht="33" customHeight="1" x14ac:dyDescent="0.3">
      <c r="A1" s="1" t="s">
        <v>1</v>
      </c>
      <c r="B1" s="2" t="s">
        <v>35</v>
      </c>
      <c r="C1" s="4" t="s">
        <v>0</v>
      </c>
      <c r="D1" s="3" t="s">
        <v>34</v>
      </c>
      <c r="E1" s="3" t="s">
        <v>32</v>
      </c>
      <c r="F1" s="3" t="s">
        <v>33</v>
      </c>
      <c r="G1" s="4" t="s">
        <v>31</v>
      </c>
      <c r="H1" s="4" t="s">
        <v>2</v>
      </c>
    </row>
    <row r="2" spans="1:8" ht="20.399999999999999" x14ac:dyDescent="0.3">
      <c r="A2" s="13" t="s">
        <v>3</v>
      </c>
      <c r="B2" s="5" t="s">
        <v>4</v>
      </c>
      <c r="C2" s="6"/>
      <c r="D2" s="7"/>
      <c r="E2" s="10"/>
      <c r="F2" s="10"/>
      <c r="G2" s="8"/>
      <c r="H2" s="8"/>
    </row>
    <row r="3" spans="1:8" ht="30.6" x14ac:dyDescent="0.3">
      <c r="A3" s="11" t="s">
        <v>5</v>
      </c>
      <c r="B3" s="14" t="s">
        <v>6</v>
      </c>
      <c r="C3" s="6"/>
      <c r="D3" s="7"/>
      <c r="E3" s="10"/>
      <c r="F3" s="10"/>
      <c r="G3" s="8"/>
      <c r="H3" s="8"/>
    </row>
    <row r="4" spans="1:8" ht="20.399999999999999" x14ac:dyDescent="0.3">
      <c r="A4" s="13" t="s">
        <v>7</v>
      </c>
      <c r="B4" s="5" t="s">
        <v>8</v>
      </c>
      <c r="C4" s="6"/>
      <c r="D4" s="7"/>
      <c r="E4" s="10"/>
      <c r="F4" s="10"/>
      <c r="G4" s="8"/>
      <c r="H4" s="8"/>
    </row>
    <row r="5" spans="1:8" x14ac:dyDescent="0.3">
      <c r="A5" s="9"/>
      <c r="B5" s="5" t="s">
        <v>9</v>
      </c>
      <c r="C5" s="6"/>
      <c r="D5" s="7"/>
      <c r="E5" s="10"/>
      <c r="F5" s="10"/>
      <c r="G5" s="8"/>
      <c r="H5" s="8"/>
    </row>
    <row r="6" spans="1:8" x14ac:dyDescent="0.3">
      <c r="A6" s="9"/>
      <c r="B6" s="5" t="s">
        <v>10</v>
      </c>
      <c r="C6" s="6"/>
      <c r="D6" s="7"/>
      <c r="E6" s="10"/>
      <c r="F6" s="10"/>
      <c r="G6" s="8"/>
      <c r="H6" s="8"/>
    </row>
    <row r="7" spans="1:8" ht="20.399999999999999" x14ac:dyDescent="0.3">
      <c r="A7" s="9"/>
      <c r="B7" s="5" t="s">
        <v>11</v>
      </c>
      <c r="C7" s="6"/>
      <c r="D7" s="7"/>
      <c r="E7" s="10"/>
      <c r="F7" s="10"/>
      <c r="G7" s="8"/>
      <c r="H7" s="8"/>
    </row>
    <row r="8" spans="1:8" ht="30.6" x14ac:dyDescent="0.3">
      <c r="A8" s="11"/>
      <c r="B8" s="5" t="s">
        <v>12</v>
      </c>
      <c r="C8" s="6"/>
      <c r="D8" s="7"/>
      <c r="E8" s="10"/>
      <c r="F8" s="10"/>
      <c r="G8" s="8"/>
      <c r="H8" s="8"/>
    </row>
    <row r="9" spans="1:8" ht="30.6" x14ac:dyDescent="0.3">
      <c r="A9" s="11" t="s">
        <v>13</v>
      </c>
      <c r="B9" s="14" t="s">
        <v>14</v>
      </c>
      <c r="C9" s="6"/>
      <c r="D9" s="7"/>
      <c r="E9" s="10"/>
      <c r="F9" s="10"/>
      <c r="G9" s="8"/>
      <c r="H9" s="8"/>
    </row>
    <row r="10" spans="1:8" x14ac:dyDescent="0.3">
      <c r="A10" s="15" t="s">
        <v>15</v>
      </c>
      <c r="B10" s="5" t="s">
        <v>16</v>
      </c>
      <c r="C10" s="6"/>
      <c r="D10" s="7"/>
      <c r="E10" s="10"/>
      <c r="F10" s="10"/>
      <c r="G10" s="8"/>
      <c r="H10" s="8"/>
    </row>
    <row r="11" spans="1:8" ht="20.399999999999999" x14ac:dyDescent="0.3">
      <c r="A11" s="11" t="s">
        <v>17</v>
      </c>
      <c r="B11" s="14" t="s">
        <v>18</v>
      </c>
      <c r="C11" s="6"/>
      <c r="D11" s="7"/>
      <c r="E11" s="10"/>
      <c r="F11" s="10"/>
      <c r="G11" s="8"/>
      <c r="H11" s="8"/>
    </row>
    <row r="12" spans="1:8" x14ac:dyDescent="0.3">
      <c r="A12" s="15" t="s">
        <v>19</v>
      </c>
      <c r="B12" s="5" t="s">
        <v>19</v>
      </c>
      <c r="C12" s="6"/>
      <c r="D12" s="7"/>
      <c r="E12" s="10"/>
      <c r="F12" s="10"/>
      <c r="G12" s="8"/>
      <c r="H12" s="8"/>
    </row>
    <row r="13" spans="1:8" ht="20.399999999999999" x14ac:dyDescent="0.3">
      <c r="A13" s="9"/>
      <c r="B13" s="5" t="s">
        <v>20</v>
      </c>
      <c r="C13" s="6"/>
      <c r="D13" s="7"/>
      <c r="E13" s="10"/>
      <c r="F13" s="10"/>
      <c r="G13" s="8"/>
      <c r="H13" s="8"/>
    </row>
    <row r="14" spans="1:8" ht="20.399999999999999" customHeight="1" x14ac:dyDescent="0.3">
      <c r="A14" s="13" t="s">
        <v>21</v>
      </c>
      <c r="B14" s="9" t="s">
        <v>22</v>
      </c>
      <c r="C14" s="6"/>
      <c r="D14" s="7"/>
      <c r="E14" s="10"/>
      <c r="F14" s="10"/>
      <c r="G14" s="8"/>
      <c r="H14" s="8"/>
    </row>
    <row r="15" spans="1:8" x14ac:dyDescent="0.3">
      <c r="A15" s="11" t="s">
        <v>23</v>
      </c>
      <c r="B15" s="12" t="s">
        <v>24</v>
      </c>
      <c r="C15" s="6"/>
      <c r="D15" s="7"/>
      <c r="E15" s="10"/>
      <c r="F15" s="10"/>
      <c r="G15" s="8"/>
      <c r="H15" s="8"/>
    </row>
    <row r="16" spans="1:8" x14ac:dyDescent="0.3">
      <c r="A16" s="15" t="s">
        <v>25</v>
      </c>
      <c r="B16" s="12" t="s">
        <v>26</v>
      </c>
      <c r="C16" s="6"/>
      <c r="D16" s="7"/>
      <c r="E16" s="10"/>
      <c r="F16" s="10"/>
      <c r="G16" s="8"/>
      <c r="H16" s="8"/>
    </row>
    <row r="17" spans="1:8" ht="20.399999999999999" x14ac:dyDescent="0.3">
      <c r="A17" s="11"/>
      <c r="B17" s="12" t="s">
        <v>27</v>
      </c>
      <c r="C17" s="6"/>
      <c r="D17" s="7"/>
      <c r="E17" s="10"/>
      <c r="F17" s="10"/>
      <c r="G17" s="8"/>
      <c r="H17" s="8"/>
    </row>
    <row r="18" spans="1:8" x14ac:dyDescent="0.3">
      <c r="A18" s="15" t="s">
        <v>28</v>
      </c>
      <c r="B18" s="9" t="s">
        <v>29</v>
      </c>
      <c r="C18" s="6"/>
      <c r="D18" s="7"/>
      <c r="E18" s="10"/>
      <c r="F18" s="10"/>
      <c r="G18" s="8"/>
      <c r="H18" s="8"/>
    </row>
    <row r="19" spans="1:8" x14ac:dyDescent="0.3">
      <c r="A19" s="9"/>
      <c r="B19" s="9" t="s">
        <v>30</v>
      </c>
      <c r="C19" s="6"/>
      <c r="D19" s="7"/>
      <c r="E19" s="10"/>
      <c r="F19" s="10"/>
      <c r="G19" s="8"/>
      <c r="H19" s="8"/>
    </row>
  </sheetData>
  <dataConsolidate link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A47BF-7A9B-4F15-8291-3477E8B3B055}">
  <sheetPr codeName="Sheet1"/>
  <dimension ref="A2:A18"/>
  <sheetViews>
    <sheetView workbookViewId="0">
      <selection activeCell="M17" sqref="M17"/>
    </sheetView>
  </sheetViews>
  <sheetFormatPr defaultRowHeight="14.4" x14ac:dyDescent="0.3"/>
  <cols>
    <col min="1" max="1" width="14.21875" customWidth="1"/>
  </cols>
  <sheetData>
    <row r="2" spans="1:1" x14ac:dyDescent="0.3">
      <c r="A2">
        <v>0</v>
      </c>
    </row>
    <row r="3" spans="1:1" x14ac:dyDescent="0.3">
      <c r="A3" t="s">
        <v>40</v>
      </c>
    </row>
    <row r="4" spans="1:1" x14ac:dyDescent="0.3">
      <c r="A4" t="s">
        <v>39</v>
      </c>
    </row>
    <row r="5" spans="1:1" x14ac:dyDescent="0.3">
      <c r="A5" t="s">
        <v>36</v>
      </c>
    </row>
    <row r="6" spans="1:1" x14ac:dyDescent="0.3">
      <c r="A6" t="s">
        <v>37</v>
      </c>
    </row>
    <row r="8" spans="1:1" x14ac:dyDescent="0.3">
      <c r="A8">
        <v>1</v>
      </c>
    </row>
    <row r="9" spans="1:1" x14ac:dyDescent="0.3">
      <c r="A9" t="s">
        <v>40</v>
      </c>
    </row>
    <row r="10" spans="1:1" x14ac:dyDescent="0.3">
      <c r="A10" t="s">
        <v>44</v>
      </c>
    </row>
    <row r="11" spans="1:1" x14ac:dyDescent="0.3">
      <c r="A11" t="s">
        <v>38</v>
      </c>
    </row>
    <row r="14" spans="1:1" x14ac:dyDescent="0.3">
      <c r="A14">
        <v>0</v>
      </c>
    </row>
    <row r="15" spans="1:1" x14ac:dyDescent="0.3">
      <c r="A15" t="s">
        <v>40</v>
      </c>
    </row>
    <row r="16" spans="1:1" x14ac:dyDescent="0.3">
      <c r="A16" t="s">
        <v>42</v>
      </c>
    </row>
    <row r="17" spans="1:1" x14ac:dyDescent="0.3">
      <c r="A17" t="s">
        <v>41</v>
      </c>
    </row>
    <row r="18" spans="1:1" x14ac:dyDescent="0.3">
      <c r="A18" t="s">
        <v>43</v>
      </c>
    </row>
  </sheetData>
  <dataConsolidate link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A7774-8BFD-44DF-913F-011FFEE543D0}">
  <sheetPr codeName="Sheet2"/>
  <dimension ref="A1:H51"/>
  <sheetViews>
    <sheetView topLeftCell="A9" workbookViewId="0">
      <selection activeCell="L37" sqref="L37"/>
    </sheetView>
  </sheetViews>
  <sheetFormatPr defaultRowHeight="14.4" x14ac:dyDescent="0.3"/>
  <cols>
    <col min="1" max="1" width="20.5546875" customWidth="1"/>
    <col min="2" max="2" width="17.77734375" customWidth="1"/>
    <col min="3" max="3" width="15.6640625" customWidth="1"/>
    <col min="4" max="4" width="15.33203125" customWidth="1"/>
    <col min="5" max="5" width="13.88671875" customWidth="1"/>
    <col min="6" max="6" width="14.33203125" customWidth="1"/>
    <col min="7" max="7" width="21.6640625" customWidth="1"/>
    <col min="8" max="8" width="29.88671875" customWidth="1"/>
  </cols>
  <sheetData>
    <row r="1" spans="1:8" x14ac:dyDescent="0.3">
      <c r="A1" s="29" t="s">
        <v>39</v>
      </c>
      <c r="B1" s="29"/>
      <c r="C1" s="29"/>
      <c r="D1" s="29"/>
      <c r="E1" s="29"/>
      <c r="F1" s="29"/>
      <c r="G1" s="29"/>
      <c r="H1" s="29"/>
    </row>
    <row r="2" spans="1:8" ht="20.399999999999999" x14ac:dyDescent="0.3">
      <c r="A2" s="20" t="s">
        <v>1</v>
      </c>
      <c r="B2" s="21" t="s">
        <v>35</v>
      </c>
      <c r="C2" s="22" t="s">
        <v>0</v>
      </c>
      <c r="D2" s="23" t="s">
        <v>34</v>
      </c>
      <c r="E2" s="23" t="s">
        <v>32</v>
      </c>
      <c r="F2" s="23" t="s">
        <v>33</v>
      </c>
      <c r="G2" s="22" t="s">
        <v>31</v>
      </c>
      <c r="H2" s="22" t="s">
        <v>2</v>
      </c>
    </row>
    <row r="3" spans="1:8" ht="20.399999999999999" x14ac:dyDescent="0.3">
      <c r="A3" s="16" t="s">
        <v>3</v>
      </c>
      <c r="B3" s="5" t="s">
        <v>4</v>
      </c>
      <c r="C3" s="6"/>
      <c r="D3" s="7"/>
      <c r="E3" s="10"/>
      <c r="F3" s="10"/>
      <c r="G3" s="8"/>
      <c r="H3" s="8"/>
    </row>
    <row r="4" spans="1:8" ht="30.6" x14ac:dyDescent="0.3">
      <c r="A4" s="17" t="s">
        <v>5</v>
      </c>
      <c r="B4" s="14" t="s">
        <v>6</v>
      </c>
      <c r="C4" s="6"/>
      <c r="D4" s="7"/>
      <c r="E4" s="10"/>
      <c r="F4" s="10"/>
      <c r="G4" s="8"/>
      <c r="H4" s="8"/>
    </row>
    <row r="5" spans="1:8" ht="20.399999999999999" x14ac:dyDescent="0.3">
      <c r="A5" s="16" t="s">
        <v>7</v>
      </c>
      <c r="B5" s="5" t="s">
        <v>8</v>
      </c>
      <c r="C5" s="6"/>
      <c r="D5" s="7"/>
      <c r="E5" s="10"/>
      <c r="F5" s="10"/>
      <c r="G5" s="8"/>
      <c r="H5" s="8"/>
    </row>
    <row r="6" spans="1:8" x14ac:dyDescent="0.3">
      <c r="A6" s="18"/>
      <c r="B6" s="5" t="s">
        <v>9</v>
      </c>
      <c r="C6" s="6"/>
      <c r="D6" s="7"/>
      <c r="E6" s="10"/>
      <c r="F6" s="10"/>
      <c r="G6" s="8"/>
      <c r="H6" s="8"/>
    </row>
    <row r="7" spans="1:8" x14ac:dyDescent="0.3">
      <c r="A7" s="18"/>
      <c r="B7" s="5" t="s">
        <v>10</v>
      </c>
      <c r="C7" s="6"/>
      <c r="D7" s="7"/>
      <c r="E7" s="10"/>
      <c r="F7" s="10"/>
      <c r="G7" s="8"/>
      <c r="H7" s="8"/>
    </row>
    <row r="8" spans="1:8" ht="20.399999999999999" x14ac:dyDescent="0.3">
      <c r="A8" s="18"/>
      <c r="B8" s="5" t="s">
        <v>11</v>
      </c>
      <c r="C8" s="6"/>
      <c r="D8" s="7"/>
      <c r="E8" s="10"/>
      <c r="F8" s="10"/>
      <c r="G8" s="8"/>
      <c r="H8" s="8"/>
    </row>
    <row r="9" spans="1:8" ht="30.6" x14ac:dyDescent="0.3">
      <c r="A9" s="17"/>
      <c r="B9" s="5" t="s">
        <v>12</v>
      </c>
      <c r="C9" s="6"/>
      <c r="D9" s="7"/>
      <c r="E9" s="10"/>
      <c r="F9" s="10"/>
      <c r="G9" s="8"/>
      <c r="H9" s="8"/>
    </row>
    <row r="10" spans="1:8" ht="30.6" x14ac:dyDescent="0.3">
      <c r="A10" s="17" t="s">
        <v>13</v>
      </c>
      <c r="B10" s="14" t="s">
        <v>14</v>
      </c>
      <c r="C10" s="6"/>
      <c r="D10" s="7"/>
      <c r="E10" s="10"/>
      <c r="F10" s="10"/>
      <c r="G10" s="8"/>
      <c r="H10" s="8"/>
    </row>
    <row r="11" spans="1:8" x14ac:dyDescent="0.3">
      <c r="A11" s="19" t="s">
        <v>15</v>
      </c>
      <c r="B11" s="5" t="s">
        <v>16</v>
      </c>
      <c r="C11" s="6"/>
      <c r="D11" s="7"/>
      <c r="E11" s="10"/>
      <c r="F11" s="10"/>
      <c r="G11" s="8"/>
      <c r="H11" s="8"/>
    </row>
    <row r="12" spans="1:8" ht="20.399999999999999" x14ac:dyDescent="0.3">
      <c r="A12" s="17" t="s">
        <v>17</v>
      </c>
      <c r="B12" s="14" t="s">
        <v>18</v>
      </c>
      <c r="C12" s="6"/>
      <c r="D12" s="7"/>
      <c r="E12" s="10"/>
      <c r="F12" s="10"/>
      <c r="G12" s="8"/>
      <c r="H12" s="8"/>
    </row>
    <row r="13" spans="1:8" x14ac:dyDescent="0.3">
      <c r="A13" s="19" t="s">
        <v>19</v>
      </c>
      <c r="B13" s="5" t="s">
        <v>19</v>
      </c>
      <c r="C13" s="6"/>
      <c r="D13" s="7"/>
      <c r="E13" s="10"/>
      <c r="F13" s="10"/>
      <c r="G13" s="8"/>
      <c r="H13" s="8"/>
    </row>
    <row r="14" spans="1:8" ht="20.399999999999999" x14ac:dyDescent="0.3">
      <c r="A14" s="18"/>
      <c r="B14" s="5" t="s">
        <v>20</v>
      </c>
      <c r="C14" s="6"/>
      <c r="D14" s="7"/>
      <c r="E14" s="10"/>
      <c r="F14" s="10"/>
      <c r="G14" s="8"/>
      <c r="H14" s="8"/>
    </row>
    <row r="15" spans="1:8" x14ac:dyDescent="0.3">
      <c r="A15" s="16" t="s">
        <v>21</v>
      </c>
      <c r="B15" s="9" t="s">
        <v>22</v>
      </c>
      <c r="C15" s="6"/>
      <c r="D15" s="7"/>
      <c r="E15" s="10"/>
      <c r="F15" s="10"/>
      <c r="G15" s="8"/>
      <c r="H15" s="8"/>
    </row>
    <row r="16" spans="1:8" x14ac:dyDescent="0.3">
      <c r="A16" s="17" t="s">
        <v>23</v>
      </c>
      <c r="B16" s="12" t="s">
        <v>24</v>
      </c>
      <c r="C16" s="6"/>
      <c r="D16" s="7"/>
      <c r="E16" s="10"/>
      <c r="F16" s="10"/>
      <c r="G16" s="8"/>
      <c r="H16" s="8"/>
    </row>
    <row r="17" spans="1:8" x14ac:dyDescent="0.3">
      <c r="A17" s="19" t="s">
        <v>25</v>
      </c>
      <c r="B17" s="12" t="s">
        <v>26</v>
      </c>
      <c r="C17" s="6"/>
      <c r="D17" s="7"/>
      <c r="E17" s="10"/>
      <c r="F17" s="10"/>
      <c r="G17" s="8"/>
      <c r="H17" s="8"/>
    </row>
    <row r="18" spans="1:8" ht="20.399999999999999" x14ac:dyDescent="0.3">
      <c r="A18" s="17"/>
      <c r="B18" s="12" t="s">
        <v>27</v>
      </c>
      <c r="C18" s="6"/>
      <c r="D18" s="7"/>
      <c r="E18" s="10"/>
      <c r="F18" s="10"/>
      <c r="G18" s="8"/>
      <c r="H18" s="8"/>
    </row>
    <row r="19" spans="1:8" x14ac:dyDescent="0.3">
      <c r="A19" s="19" t="s">
        <v>28</v>
      </c>
      <c r="B19" s="9" t="s">
        <v>29</v>
      </c>
      <c r="C19" s="6"/>
      <c r="D19" s="7"/>
      <c r="E19" s="10"/>
      <c r="F19" s="10"/>
      <c r="G19" s="8"/>
      <c r="H19" s="8"/>
    </row>
    <row r="20" spans="1:8" x14ac:dyDescent="0.3">
      <c r="A20" s="18"/>
      <c r="B20" s="9" t="s">
        <v>30</v>
      </c>
      <c r="C20" s="6"/>
      <c r="D20" s="7"/>
      <c r="E20" s="10"/>
      <c r="F20" s="10"/>
      <c r="G20" s="8"/>
      <c r="H20" s="8"/>
    </row>
    <row r="21" spans="1:8" x14ac:dyDescent="0.3">
      <c r="A21">
        <f>SUBTOTAL(109,_7000v110001[SW Development Phases])</f>
        <v>0</v>
      </c>
      <c r="B21" s="26">
        <f>SUBTOTAL(109,_7000v110001[Task])</f>
        <v>0</v>
      </c>
      <c r="C21" s="24">
        <f>SUBTOTAL(109,_7000v110001[Owner])</f>
        <v>0</v>
      </c>
      <c r="D21" s="25">
        <f>SUBTOTAL(109,_7000v110001[Init Effort])</f>
        <v>0</v>
      </c>
      <c r="E21" s="28">
        <f>SUBTOTAL(109,_7000v110001[Final Effort])</f>
        <v>0</v>
      </c>
      <c r="F21" s="28">
        <f>SUBTOTAL(109,_7000v110001[Actual Effort])</f>
        <v>0</v>
      </c>
      <c r="G21" s="27">
        <f>SUBTOTAL(109,_7000v110001[Comments])</f>
        <v>0</v>
      </c>
      <c r="H21" s="27">
        <f>SUBTOTAL(109,_7000v110001[ITEM Work calculation at key-on])</f>
        <v>0</v>
      </c>
    </row>
    <row r="31" spans="1:8" x14ac:dyDescent="0.3">
      <c r="A31" s="29" t="s">
        <v>42</v>
      </c>
      <c r="B31" s="29"/>
      <c r="C31" s="29"/>
      <c r="D31" s="29"/>
      <c r="E31" s="29"/>
      <c r="F31" s="29"/>
      <c r="G31" s="29"/>
      <c r="H31" s="29"/>
    </row>
    <row r="32" spans="1:8" x14ac:dyDescent="0.3">
      <c r="A32" s="20" t="s">
        <v>1</v>
      </c>
      <c r="B32" s="21" t="s">
        <v>35</v>
      </c>
      <c r="C32" s="22" t="s">
        <v>0</v>
      </c>
      <c r="D32" s="23" t="s">
        <v>34</v>
      </c>
      <c r="E32" s="23" t="s">
        <v>32</v>
      </c>
      <c r="F32" s="23" t="s">
        <v>33</v>
      </c>
      <c r="G32" s="22" t="s">
        <v>31</v>
      </c>
      <c r="H32" s="22" t="s">
        <v>2</v>
      </c>
    </row>
    <row r="33" spans="1:8" ht="20.399999999999999" x14ac:dyDescent="0.3">
      <c r="A33" s="16" t="s">
        <v>3</v>
      </c>
      <c r="B33" s="5" t="s">
        <v>4</v>
      </c>
      <c r="C33" s="6"/>
      <c r="D33" s="7"/>
      <c r="E33" s="10"/>
      <c r="F33" s="10"/>
      <c r="G33" s="8"/>
      <c r="H33" s="8"/>
    </row>
    <row r="34" spans="1:8" ht="30.6" x14ac:dyDescent="0.3">
      <c r="A34" s="17" t="s">
        <v>5</v>
      </c>
      <c r="B34" s="14" t="s">
        <v>6</v>
      </c>
      <c r="C34" s="6"/>
      <c r="D34" s="7"/>
      <c r="E34" s="10"/>
      <c r="F34" s="10"/>
      <c r="G34" s="8"/>
      <c r="H34" s="8"/>
    </row>
    <row r="35" spans="1:8" ht="20.399999999999999" x14ac:dyDescent="0.3">
      <c r="A35" s="16" t="s">
        <v>7</v>
      </c>
      <c r="B35" s="5" t="s">
        <v>8</v>
      </c>
      <c r="C35" s="6"/>
      <c r="D35" s="7"/>
      <c r="E35" s="10"/>
      <c r="F35" s="10"/>
      <c r="G35" s="8"/>
      <c r="H35" s="8"/>
    </row>
    <row r="36" spans="1:8" x14ac:dyDescent="0.3">
      <c r="A36" s="18"/>
      <c r="B36" s="5" t="s">
        <v>9</v>
      </c>
      <c r="C36" s="6"/>
      <c r="D36" s="7"/>
      <c r="E36" s="10"/>
      <c r="F36" s="10"/>
      <c r="G36" s="8"/>
      <c r="H36" s="8"/>
    </row>
    <row r="37" spans="1:8" x14ac:dyDescent="0.3">
      <c r="A37" s="18"/>
      <c r="B37" s="5" t="s">
        <v>10</v>
      </c>
      <c r="C37" s="6"/>
      <c r="D37" s="7"/>
      <c r="E37" s="10"/>
      <c r="F37" s="10"/>
      <c r="G37" s="8"/>
      <c r="H37" s="8"/>
    </row>
    <row r="38" spans="1:8" ht="20.399999999999999" x14ac:dyDescent="0.3">
      <c r="A38" s="18"/>
      <c r="B38" s="5" t="s">
        <v>11</v>
      </c>
      <c r="C38" s="6"/>
      <c r="D38" s="7"/>
      <c r="E38" s="10"/>
      <c r="F38" s="10"/>
      <c r="G38" s="8"/>
      <c r="H38" s="8"/>
    </row>
    <row r="39" spans="1:8" ht="30.6" x14ac:dyDescent="0.3">
      <c r="A39" s="17"/>
      <c r="B39" s="5" t="s">
        <v>12</v>
      </c>
      <c r="C39" s="6"/>
      <c r="D39" s="7"/>
      <c r="E39" s="10"/>
      <c r="F39" s="10"/>
      <c r="G39" s="8"/>
      <c r="H39" s="8"/>
    </row>
    <row r="40" spans="1:8" ht="30.6" x14ac:dyDescent="0.3">
      <c r="A40" s="17" t="s">
        <v>13</v>
      </c>
      <c r="B40" s="14" t="s">
        <v>14</v>
      </c>
      <c r="C40" s="6"/>
      <c r="D40" s="7"/>
      <c r="E40" s="10"/>
      <c r="F40" s="10"/>
      <c r="G40" s="8"/>
      <c r="H40" s="8"/>
    </row>
    <row r="41" spans="1:8" x14ac:dyDescent="0.3">
      <c r="A41" s="19" t="s">
        <v>15</v>
      </c>
      <c r="B41" s="5" t="s">
        <v>16</v>
      </c>
      <c r="C41" s="6"/>
      <c r="D41" s="7"/>
      <c r="E41" s="10"/>
      <c r="F41" s="10"/>
      <c r="G41" s="8"/>
      <c r="H41" s="8"/>
    </row>
    <row r="42" spans="1:8" ht="20.399999999999999" x14ac:dyDescent="0.3">
      <c r="A42" s="17" t="s">
        <v>17</v>
      </c>
      <c r="B42" s="14" t="s">
        <v>18</v>
      </c>
      <c r="C42" s="6"/>
      <c r="D42" s="7"/>
      <c r="E42" s="10"/>
      <c r="F42" s="10"/>
      <c r="G42" s="8"/>
      <c r="H42" s="8"/>
    </row>
    <row r="43" spans="1:8" x14ac:dyDescent="0.3">
      <c r="A43" s="19" t="s">
        <v>19</v>
      </c>
      <c r="B43" s="5" t="s">
        <v>19</v>
      </c>
      <c r="C43" s="6"/>
      <c r="D43" s="7"/>
      <c r="E43" s="10"/>
      <c r="F43" s="10"/>
      <c r="G43" s="8"/>
      <c r="H43" s="8"/>
    </row>
    <row r="44" spans="1:8" ht="20.399999999999999" x14ac:dyDescent="0.3">
      <c r="A44" s="18"/>
      <c r="B44" s="5" t="s">
        <v>20</v>
      </c>
      <c r="C44" s="6"/>
      <c r="D44" s="7"/>
      <c r="E44" s="10"/>
      <c r="F44" s="10"/>
      <c r="G44" s="8"/>
      <c r="H44" s="8"/>
    </row>
    <row r="45" spans="1:8" x14ac:dyDescent="0.3">
      <c r="A45" s="16" t="s">
        <v>21</v>
      </c>
      <c r="B45" s="9" t="s">
        <v>22</v>
      </c>
      <c r="C45" s="6"/>
      <c r="D45" s="7"/>
      <c r="E45" s="10"/>
      <c r="F45" s="10"/>
      <c r="G45" s="8"/>
      <c r="H45" s="8"/>
    </row>
    <row r="46" spans="1:8" x14ac:dyDescent="0.3">
      <c r="A46" s="17" t="s">
        <v>23</v>
      </c>
      <c r="B46" s="12" t="s">
        <v>24</v>
      </c>
      <c r="C46" s="6"/>
      <c r="D46" s="7"/>
      <c r="E46" s="10"/>
      <c r="F46" s="10"/>
      <c r="G46" s="8"/>
      <c r="H46" s="8"/>
    </row>
    <row r="47" spans="1:8" x14ac:dyDescent="0.3">
      <c r="A47" s="19" t="s">
        <v>25</v>
      </c>
      <c r="B47" s="12" t="s">
        <v>26</v>
      </c>
      <c r="C47" s="6"/>
      <c r="D47" s="7"/>
      <c r="E47" s="10"/>
      <c r="F47" s="10"/>
      <c r="G47" s="8"/>
      <c r="H47" s="8"/>
    </row>
    <row r="48" spans="1:8" ht="20.399999999999999" x14ac:dyDescent="0.3">
      <c r="A48" s="17"/>
      <c r="B48" s="12" t="s">
        <v>27</v>
      </c>
      <c r="C48" s="6"/>
      <c r="D48" s="7"/>
      <c r="E48" s="10"/>
      <c r="F48" s="10"/>
      <c r="G48" s="8"/>
      <c r="H48" s="8"/>
    </row>
    <row r="49" spans="1:8" x14ac:dyDescent="0.3">
      <c r="A49" s="19" t="s">
        <v>28</v>
      </c>
      <c r="B49" s="9" t="s">
        <v>29</v>
      </c>
      <c r="C49" s="6"/>
      <c r="D49" s="7"/>
      <c r="E49" s="10"/>
      <c r="F49" s="10"/>
      <c r="G49" s="8"/>
      <c r="H49" s="8"/>
    </row>
    <row r="50" spans="1:8" x14ac:dyDescent="0.3">
      <c r="A50" s="18"/>
      <c r="B50" s="9" t="s">
        <v>30</v>
      </c>
      <c r="C50" s="6"/>
      <c r="D50" s="7"/>
      <c r="E50" s="10"/>
      <c r="F50" s="10"/>
      <c r="G50" s="8"/>
      <c r="H50" s="8"/>
    </row>
    <row r="51" spans="1:8" x14ac:dyDescent="0.3">
      <c r="A51">
        <f>SUBTOTAL(109,_7000v110008[SW Development Phases])</f>
        <v>0</v>
      </c>
      <c r="B51" s="26">
        <f>SUBTOTAL(109,_7000v110008[Task])</f>
        <v>0</v>
      </c>
      <c r="C51" s="24">
        <f>SUBTOTAL(109,_7000v110008[Owner])</f>
        <v>0</v>
      </c>
      <c r="D51" s="25">
        <f>SUBTOTAL(109,_7000v110008[Init Effort])</f>
        <v>0</v>
      </c>
      <c r="E51" s="28">
        <f>SUBTOTAL(109,_7000v110008[Final Effort])</f>
        <v>0</v>
      </c>
      <c r="F51" s="28">
        <f>SUBTOTAL(109,_7000v110008[Actual Effort])</f>
        <v>0</v>
      </c>
      <c r="G51" s="27">
        <f>SUBTOTAL(109,_7000v110008[Comments])</f>
        <v>0</v>
      </c>
      <c r="H51" s="27">
        <f>SUBTOTAL(109,_7000v110008[ITEM Work calculation at key-on])</f>
        <v>0</v>
      </c>
    </row>
  </sheetData>
  <mergeCells count="2">
    <mergeCell ref="A1:H1"/>
    <mergeCell ref="A31:H31"/>
  </mergeCell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Control Panel</vt:lpstr>
      <vt:lpstr>FRTemplate</vt:lpstr>
      <vt:lpstr>Variables</vt:lpstr>
      <vt:lpstr>7000v11</vt:lpstr>
      <vt:lpstr>n_7000v11_st</vt:lpstr>
      <vt:lpstr>n_7000v110001_st</vt:lpstr>
      <vt:lpstr>n_7000v110008_st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StefanoParacchino</dc:creator>
  <cp:lastModifiedBy>StefanoParacchino</cp:lastModifiedBy>
  <dcterms:created xsi:type="dcterms:W3CDTF">2022-10-07T14:09:48Z</dcterms:created>
  <dcterms:modified xsi:type="dcterms:W3CDTF">2022-11-04T02:06:06Z</dcterms:modified>
</cp:coreProperties>
</file>