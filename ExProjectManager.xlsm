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tefanoParacchino\DEV\MYDEV\GIT\ExcelProjectManager\"/>
    </mc:Choice>
  </mc:AlternateContent>
  <xr:revisionPtr revIDLastSave="0" documentId="13_ncr:1_{C5AB80A8-CB46-4B2B-89DC-ADB918AA0E94}" xr6:coauthVersionLast="47" xr6:coauthVersionMax="47" xr10:uidLastSave="{00000000-0000-0000-0000-000000000000}"/>
  <bookViews>
    <workbookView xWindow="-108" yWindow="-108" windowWidth="23256" windowHeight="12456" activeTab="3" xr2:uid="{73E8ABFB-8EEA-4870-A284-22ED9B50B6C6}"/>
  </bookViews>
  <sheets>
    <sheet name="Control Panel" sheetId="179" r:id="rId1"/>
    <sheet name="FRTemplate" sheetId="5" r:id="rId2"/>
    <sheet name="Variables" sheetId="154" state="hidden" r:id="rId3"/>
    <sheet name="8000v10" sheetId="182" r:id="rId4"/>
  </sheets>
  <functionGroups builtInGroupCount="19"/>
  <definedNames>
    <definedName name="n_8000v10_st">Variables!$A$3:$A$6</definedName>
    <definedName name="n_8000v100003_st">Variables!$A$9:$A$13</definedName>
    <definedName name="n_8000v10last_st">Variables!$A$15:$A$19</definedName>
    <definedName name="n_8000v10lastone_st">Variables!$A$21:$A$25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69" i="182" l="1"/>
  <c r="G69" i="182"/>
  <c r="F69" i="182"/>
  <c r="E69" i="182"/>
  <c r="D69" i="182"/>
  <c r="C69" i="182"/>
  <c r="B69" i="182"/>
  <c r="A69" i="182"/>
  <c r="H48" i="182"/>
  <c r="G48" i="182"/>
  <c r="F48" i="182"/>
  <c r="E48" i="182"/>
  <c r="D48" i="182"/>
  <c r="C48" i="182"/>
  <c r="B48" i="182"/>
  <c r="A48" i="182"/>
  <c r="H27" i="182"/>
  <c r="G27" i="182"/>
  <c r="F27" i="182"/>
  <c r="E27" i="182"/>
  <c r="D27" i="182"/>
  <c r="C27" i="182"/>
  <c r="B27" i="182"/>
  <c r="A27" i="182"/>
</calcChain>
</file>

<file path=xl/sharedStrings.xml><?xml version="1.0" encoding="utf-8"?>
<sst xmlns="http://schemas.openxmlformats.org/spreadsheetml/2006/main" count="166" uniqueCount="48">
  <si>
    <t>Owner</t>
  </si>
  <si>
    <t>SW Development Phases</t>
  </si>
  <si>
    <t>ITEM Work calculation at key-on</t>
  </si>
  <si>
    <t>Requirement Specification</t>
  </si>
  <si>
    <t>Requirement Specification Analysis</t>
  </si>
  <si>
    <t>FR Frozen</t>
  </si>
  <si>
    <t>Requirement Specification Analysis (Supervisor)</t>
  </si>
  <si>
    <t>Code Implementation</t>
  </si>
  <si>
    <t>Data structure implementation (Mercury)</t>
  </si>
  <si>
    <t>Modelling</t>
  </si>
  <si>
    <t>Modelling (Supervisor)</t>
  </si>
  <si>
    <t>Model Testing (MIL +  Model Advisor)</t>
  </si>
  <si>
    <t>Model Testing (MIL +  Model Advisor) (Supervisor)</t>
  </si>
  <si>
    <t>Design Frozen</t>
  </si>
  <si>
    <t>Code Integration in the ECU platform (with successful Compilation)</t>
  </si>
  <si>
    <t>Software Testing</t>
  </si>
  <si>
    <t>Unit Test + Polyspace</t>
  </si>
  <si>
    <t>Implemented</t>
  </si>
  <si>
    <t>Unit Test + Polyspace (Supervisor)</t>
  </si>
  <si>
    <t>Documentation</t>
  </si>
  <si>
    <t>Requirements Mapping (Polarion Connector)</t>
  </si>
  <si>
    <t>Delivery - Versioning</t>
  </si>
  <si>
    <t>SVN Versioning</t>
  </si>
  <si>
    <t>Delivered</t>
  </si>
  <si>
    <t>ClearCase + Polarion</t>
  </si>
  <si>
    <t>Post delivery</t>
  </si>
  <si>
    <t>Support Post Delivery</t>
  </si>
  <si>
    <t>Support Post Delivery (Supervisor)</t>
  </si>
  <si>
    <t>Other</t>
  </si>
  <si>
    <t xml:space="preserve"> Other</t>
  </si>
  <si>
    <t xml:space="preserve"> Other (Supervisor)</t>
  </si>
  <si>
    <t>Comments</t>
  </si>
  <si>
    <t>Final Effort</t>
  </si>
  <si>
    <t>Actual Effort</t>
  </si>
  <si>
    <t>Init Effort</t>
  </si>
  <si>
    <t>Task</t>
  </si>
  <si>
    <t>$A$43</t>
  </si>
  <si>
    <t>8000v10</t>
  </si>
  <si>
    <t>$A$1:$H$19</t>
  </si>
  <si>
    <t>8000v100003</t>
  </si>
  <si>
    <t>$A$44:$H$63</t>
  </si>
  <si>
    <t>8000v10last</t>
  </si>
  <si>
    <t>$A$46</t>
  </si>
  <si>
    <t>$A$47:$H$66</t>
  </si>
  <si>
    <t>$A$67</t>
  </si>
  <si>
    <t>8000v10lastone</t>
  </si>
  <si>
    <t>$A$68:$H$87</t>
  </si>
  <si>
    <t>$A$88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</si>
</sst>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8" x14ac:knownFonts="1">
    <font>
      <sz val="11"/>
      <color theme="1"/>
      <name val="Calibri"/>
      <family val="2"/>
      <scheme val="minor"/>
    </font>
    <font>
      <b/>
      <sz val="8"/>
      <name val="Arial"/>
      <family val="2"/>
    </font>
    <font>
      <b/>
      <i/>
      <sz val="8"/>
      <name val="Arial"/>
      <family val="2"/>
    </font>
    <font>
      <sz val="8"/>
      <name val="Arial"/>
      <family val="2"/>
    </font>
    <font>
      <sz val="10"/>
      <name val="Arial"/>
      <family val="2"/>
      <charset val="1"/>
    </font>
    <font>
      <sz val="8"/>
      <name val="Arial"/>
      <family val="2"/>
      <charset val="1"/>
    </font>
    <font>
      <i/>
      <sz val="8"/>
      <name val="Arial"/>
      <family val="2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34"/>
      </patternFill>
    </fill>
    <fill>
      <patternFill patternType="solid">
        <fgColor rgb="FFFFE4C4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</borders>
  <cellStyleXfs count="2">
    <xf numFmtId="0" fontId="0" fillId="0" borderId="0"/>
    <xf numFmtId="0" fontId="4" fillId="0" borderId="0"/>
  </cellStyleXfs>
  <cellXfs count="30">
    <xf numFmtId="0" fontId="0" fillId="0" borderId="0" xfId="0"/>
    <xf numFmtId="0" fontId="1" fillId="2" borderId="3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left" vertical="center" wrapText="1"/>
    </xf>
    <xf numFmtId="0" fontId="3" fillId="4" borderId="4" xfId="0" applyFont="1" applyFill="1" applyBorder="1" applyAlignment="1">
      <alignment horizontal="center" vertical="center"/>
    </xf>
    <xf numFmtId="164" fontId="3" fillId="4" borderId="4" xfId="0" applyNumberFormat="1" applyFont="1" applyFill="1" applyBorder="1" applyAlignment="1">
      <alignment horizontal="right" vertical="center"/>
    </xf>
    <xf numFmtId="164" fontId="3" fillId="4" borderId="1" xfId="0" applyNumberFormat="1" applyFont="1" applyFill="1" applyBorder="1" applyAlignment="1">
      <alignment horizontal="right" vertical="center"/>
    </xf>
    <xf numFmtId="0" fontId="3" fillId="4" borderId="4" xfId="0" applyFont="1" applyFill="1" applyBorder="1" applyAlignment="1">
      <alignment horizontal="left" vertical="center"/>
    </xf>
    <xf numFmtId="164" fontId="5" fillId="5" borderId="5" xfId="1" applyNumberFormat="1" applyFont="1" applyFill="1" applyBorder="1" applyAlignment="1">
      <alignment horizontal="right" vertical="center"/>
    </xf>
    <xf numFmtId="0" fontId="2" fillId="4" borderId="4" xfId="0" applyFont="1" applyFill="1" applyBorder="1" applyAlignment="1">
      <alignment horizontal="left" vertical="center"/>
    </xf>
    <xf numFmtId="0" fontId="3" fillId="4" borderId="4" xfId="0" applyFont="1" applyFill="1" applyBorder="1" applyAlignment="1">
      <alignment vertical="center" wrapText="1"/>
    </xf>
    <xf numFmtId="0" fontId="6" fillId="4" borderId="4" xfId="0" applyFont="1" applyFill="1" applyBorder="1" applyAlignment="1">
      <alignment horizontal="left" vertical="center" wrapText="1"/>
    </xf>
    <xf numFmtId="0" fontId="1" fillId="4" borderId="4" xfId="0" applyFont="1" applyFill="1" applyBorder="1" applyAlignment="1">
      <alignment horizontal="left" vertical="center" wrapText="1"/>
    </xf>
    <xf numFmtId="0" fontId="6" fillId="4" borderId="4" xfId="0" applyFont="1" applyFill="1" applyBorder="1" applyAlignment="1">
      <alignment horizontal="left" vertical="center"/>
    </xf>
    <xf numFmtId="0" fontId="6" fillId="4" borderId="6" xfId="0" applyFont="1" applyFill="1" applyBorder="1" applyAlignment="1">
      <alignment horizontal="left" vertical="center" wrapText="1"/>
    </xf>
    <xf numFmtId="0" fontId="2" fillId="4" borderId="6" xfId="0" applyFont="1" applyFill="1" applyBorder="1" applyAlignment="1">
      <alignment horizontal="left" vertical="center"/>
    </xf>
    <xf numFmtId="0" fontId="3" fillId="4" borderId="6" xfId="0" applyFont="1" applyFill="1" applyBorder="1" applyAlignment="1">
      <alignment horizontal="left" vertical="center"/>
    </xf>
    <xf numFmtId="0" fontId="6" fillId="4" borderId="6" xfId="0" applyFont="1" applyFill="1" applyBorder="1" applyAlignment="1">
      <alignment horizontal="left" vertical="center"/>
    </xf>
    <xf numFmtId="0" fontId="1" fillId="2" borderId="7" xfId="0" applyFont="1" applyFill="1" applyBorder="1" applyAlignment="1">
      <alignment horizontal="center" vertical="center" wrapText="1"/>
    </xf>
    <xf numFmtId="0" fontId="1" fillId="2" borderId="8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164" fontId="3" fillId="4" borderId="9" xfId="0" applyNumberFormat="1" applyFont="1" applyFill="1" applyBorder="1" applyAlignment="1">
      <alignment horizontal="right" vertical="center"/>
    </xf>
    <xf numFmtId="0" fontId="7" fillId="6" borderId="0" xfId="0" applyFont="1" applyFill="1" applyAlignment="1">
      <alignment horizontal="center"/>
    </xf>
    <xf numFmtId="0" fontId="3" fillId="4" borderId="9" xfId="0" applyFont="1" applyFill="1" applyBorder="1" applyAlignment="1">
      <alignment vertical="center" wrapText="1"/>
    </xf>
    <xf numFmtId="164" fontId="5" fillId="5" borderId="10" xfId="0" applyNumberFormat="1" applyFont="1" applyFill="1" applyBorder="1" applyAlignment="1" applyProtection="1">
      <alignment horizontal="right" vertical="center"/>
    </xf>
    <xf numFmtId="164" fontId="3" fillId="4" borderId="8" xfId="0" applyNumberFormat="1" applyFont="1" applyFill="1" applyBorder="1" applyAlignment="1">
      <alignment horizontal="right" vertical="center"/>
    </xf>
  </cellXfs>
  <cellStyles count="2">
    <cellStyle name="Excel Built-in Normal" xfId="1" xr:uid="{97B716F5-B41A-48AC-9CAC-D73E2DE2674C}"/>
    <cellStyle name="Normal" xfId="0" builtinId="0"/>
  </cellStyles>
  <dxfs count="48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164" formatCode="0.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164" formatCode="0.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charset val="1"/>
        <scheme val="none"/>
      </font>
      <numFmt numFmtId="164" formatCode="0.0"/>
      <fill>
        <patternFill patternType="solid">
          <fgColor indexed="34"/>
          <bgColor indexed="13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charset val="1"/>
        <scheme val="none"/>
      </font>
      <numFmt numFmtId="164" formatCode="0.0"/>
      <fill>
        <patternFill patternType="solid">
          <fgColor indexed="34"/>
          <bgColor indexed="13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164" formatCode="0.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charset val="1"/>
        <scheme val="none"/>
      </font>
      <numFmt numFmtId="0" formatCode="General"/>
      <fill>
        <patternFill patternType="solid">
          <fgColor indexed="34"/>
          <bgColor indexed="13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charset val="1"/>
        <scheme val="none"/>
      </font>
      <numFmt numFmtId="0" formatCode="General"/>
      <fill>
        <patternFill patternType="solid">
          <fgColor indexed="34"/>
          <bgColor indexed="13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164" formatCode="0.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164" formatCode="0.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charset val="1"/>
        <scheme val="none"/>
      </font>
      <numFmt numFmtId="164" formatCode="0.0"/>
      <fill>
        <patternFill patternType="solid">
          <fgColor indexed="34"/>
          <bgColor indexed="13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charset val="1"/>
        <scheme val="none"/>
      </font>
      <numFmt numFmtId="164" formatCode="0.0"/>
      <fill>
        <patternFill patternType="solid">
          <fgColor indexed="34"/>
          <bgColor indexed="13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164" formatCode="0.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164" formatCode="0.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164" formatCode="0.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charset val="1"/>
        <scheme val="none"/>
      </font>
      <numFmt numFmtId="164" formatCode="0.0"/>
      <fill>
        <patternFill patternType="solid">
          <fgColor indexed="34"/>
          <bgColor indexed="13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charset val="1"/>
        <scheme val="none"/>
      </font>
      <numFmt numFmtId="164" formatCode="0.0"/>
      <fill>
        <patternFill patternType="solid">
          <fgColor indexed="34"/>
          <bgColor indexed="13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164" formatCode="0.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164" formatCode="0.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164" formatCode="0.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charset val="1"/>
        <scheme val="none"/>
      </font>
      <numFmt numFmtId="164" formatCode="0.0"/>
      <fill>
        <patternFill patternType="solid">
          <fgColor indexed="34"/>
          <bgColor indexed="13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charset val="1"/>
        <scheme val="none"/>
      </font>
      <numFmt numFmtId="164" formatCode="0.0"/>
      <fill>
        <patternFill patternType="solid">
          <fgColor indexed="34"/>
          <bgColor indexed="13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164" formatCode="0.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164" formatCode="0.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164" formatCode="0.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charset val="1"/>
        <scheme val="none"/>
      </font>
      <numFmt numFmtId="164" formatCode="0.0"/>
      <fill>
        <patternFill patternType="solid">
          <fgColor indexed="34"/>
          <bgColor indexed="13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charset val="1"/>
        <scheme val="none"/>
      </font>
      <numFmt numFmtId="164" formatCode="0.0"/>
      <fill>
        <patternFill patternType="solid">
          <fgColor indexed="34"/>
          <bgColor indexed="13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164" formatCode="0.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top style="thin">
          <color indexed="64"/>
        </top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167640</xdr:colOff>
          <xdr:row>10</xdr:row>
          <xdr:rowOff>144780</xdr:rowOff>
        </xdr:from>
        <xdr:to>
          <xdr:col>12</xdr:col>
          <xdr:colOff>38100</xdr:colOff>
          <xdr:row>13</xdr:row>
          <xdr:rowOff>76200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1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D6EFB69E-0487-480B-B581-A2AE17EF3A11}" name="8000v100003" displayName="_8000v100003" ref="A8:H27" totalsRowCount="1" headerRowDxfId="39" tableBorderDxfId="47">
  <autoFilter ref="A8:H26" xr:uid="{D6EFB69E-0487-480B-B581-A2AE17EF3A11}"/>
  <tableColumns count="8">
    <tableColumn id="1" xr3:uid="{5D8FFCAD-C7D1-4E16-BC46-F469FA96A46C}" name="SW Development Phases" totalsRowFunction="sum"/>
    <tableColumn id="2" xr3:uid="{78939ADD-FD1B-45C7-BD9C-879151107850}" name="Task" totalsRowFunction="sum" dataDxfId="46" totalsRowDxfId="38"/>
    <tableColumn id="3" xr3:uid="{8E7CC969-BCA4-43C6-BF27-4D3BF7547860}" name="Owner" totalsRowFunction="sum" dataDxfId="45" totalsRowDxfId="37"/>
    <tableColumn id="4" xr3:uid="{88E8AA1E-4110-4EA4-9F6E-8E786D34F277}" name="Init Effort" totalsRowFunction="sum" dataDxfId="44" totalsRowDxfId="36"/>
    <tableColumn id="5" xr3:uid="{3F931EC2-0DEF-4FF5-BEA2-E6D38D0AD29C}" name="Final Effort" totalsRowFunction="sum" dataDxfId="43" totalsRowDxfId="35" dataCellStyle="Excel Built-in Normal"/>
    <tableColumn id="6" xr3:uid="{A09F0DF8-1624-49EA-9D21-8852C98CBC26}" name="Actual Effort" totalsRowFunction="sum" dataDxfId="42" totalsRowDxfId="34" dataCellStyle="Excel Built-in Normal"/>
    <tableColumn id="7" xr3:uid="{E87F2F32-4386-4DA3-A22E-867962C4E3E1}" name="Comments" totalsRowFunction="sum" dataDxfId="41" totalsRowDxfId="33"/>
    <tableColumn id="8" xr3:uid="{644A0DB6-FCB3-4345-B6B8-A16E5EDB1F78}" name="ITEM Work calculation at key-on" totalsRowFunction="sum" dataDxfId="40" totalsRowDxfId="3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2950FA38-6435-4652-BFC3-24DA5753B335}" name="8000v10last" displayName="_8000v10last" ref="A29:H48" totalsRowCount="1" headerRowDxfId="23" tableBorderDxfId="31">
  <autoFilter ref="A29:H47" xr:uid="{2950FA38-6435-4652-BFC3-24DA5753B335}"/>
  <tableColumns count="8">
    <tableColumn id="1" xr3:uid="{0EA6E9F1-5430-40F8-B86F-A09ADFCD95F6}" name="SW Development Phases" totalsRowFunction="sum"/>
    <tableColumn id="2" xr3:uid="{C8A5C450-FDC1-4A26-A7A3-57C73F95A0DF}" name="Task" totalsRowFunction="sum" dataDxfId="30" totalsRowDxfId="6"/>
    <tableColumn id="3" xr3:uid="{AE49FFF3-9D31-4BC3-9B7A-B6E7960D7127}" name="Owner" totalsRowFunction="sum" dataDxfId="29" totalsRowDxfId="5"/>
    <tableColumn id="4" xr3:uid="{F9DDEA21-AB22-4C17-9F2B-F81E0C70AB2B}" name="Init Effort" totalsRowFunction="sum" dataDxfId="28" totalsRowDxfId="4"/>
    <tableColumn id="5" xr3:uid="{AEEECF79-DCAB-4BC9-98E1-50EEF69C9A29}" name="Final Effort" totalsRowFunction="sum" dataDxfId="27" totalsRowDxfId="3" dataCellStyle="Excel Built-in Normal"/>
    <tableColumn id="6" xr3:uid="{F5EACB61-1B3D-4475-A7AC-5B7F535CBBF2}" name="Actual Effort" totalsRowFunction="sum" dataDxfId="26" totalsRowDxfId="2" dataCellStyle="Excel Built-in Normal"/>
    <tableColumn id="7" xr3:uid="{58C6C624-D41B-438F-8BBD-B0E0A8B72135}" name="Comments" totalsRowFunction="sum" dataDxfId="25" totalsRowDxfId="1"/>
    <tableColumn id="8" xr3:uid="{49377234-4E4E-42EA-9473-549F77A73902}" name="ITEM Work calculation at key-on" totalsRowFunction="sum" dataDxfId="24" totalsRowDxfId="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97789E41-1B68-434B-81C1-299B2D67C3D0}" name="8000v10lastone" displayName="_8000v10lastone" ref="A50:H69" totalsRowCount="1" headerRowDxfId="14" tableBorderDxfId="22">
  <autoFilter ref="A50:H68" xr:uid="{97789E41-1B68-434B-81C1-299B2D67C3D0}"/>
  <tableColumns count="8">
    <tableColumn id="1" xr3:uid="{1B4F40B2-ACA4-4CB9-83C3-7BBBF01605EF}" name="SW Development Phases" totalsRowFunction="sum"/>
    <tableColumn id="2" xr3:uid="{5E7355D9-45A8-4553-A119-FF11D18533A3}" name="Task" totalsRowFunction="sum" dataDxfId="21" totalsRowDxfId="13"/>
    <tableColumn id="3" xr3:uid="{B3362241-FFC9-4C42-A328-E7644D5C95D3}" name="Owner" totalsRowFunction="sum" dataDxfId="20" totalsRowDxfId="12"/>
    <tableColumn id="4" xr3:uid="{8B9DE684-17C6-4DB1-B38B-B63E4EEC3008}" name="Init Effort" totalsRowFunction="sum" dataDxfId="19" totalsRowDxfId="11"/>
    <tableColumn id="5" xr3:uid="{110F714C-4BAF-4C9B-BF86-8E2D74B3926D}" name="Final Effort" totalsRowFunction="sum" dataDxfId="18" totalsRowDxfId="10" dataCellStyle="Excel Built-in Normal"/>
    <tableColumn id="6" xr3:uid="{73798F01-1DC4-4C96-9E1E-5572DB8BB526}" name="Actual Effort" totalsRowFunction="sum" dataDxfId="17" totalsRowDxfId="9" dataCellStyle="Excel Built-in Normal"/>
    <tableColumn id="7" xr3:uid="{423AF029-2FC8-44E4-9B16-6370EE3C7EDE}" name="Comments" totalsRowFunction="sum" dataDxfId="16" totalsRowDxfId="8"/>
    <tableColumn id="8" xr3:uid="{DD1F7C24-75F4-4903-A61B-D60BCCC4424D}" name="ITEM Work calculation at key-on" totalsRowFunction="sum" dataDxfId="15" totalsRowDxfId="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A4D3A-3D3A-44E1-8266-C8B97B70BD4C}">
  <sheetPr codeName="Sheet10"/>
  <dimension ref="A1"/>
  <sheetViews>
    <sheetView workbookViewId="0">
      <selection activeCell="J22" sqref="J22"/>
    </sheetView>
  </sheetViews>
  <sheetFormatPr defaultRowHeight="14.4" x14ac:dyDescent="0.3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Button3_Click">
                <anchor moveWithCells="1">
                  <from>
                    <xdr:col>8</xdr:col>
                    <xdr:colOff>167640</xdr:colOff>
                    <xdr:row>10</xdr:row>
                    <xdr:rowOff>144780</xdr:rowOff>
                  </from>
                  <to>
                    <xdr:col>12</xdr:col>
                    <xdr:colOff>38100</xdr:colOff>
                    <xdr:row>13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1A607-87E1-490C-8985-54EECD4D89FA}">
  <sheetPr codeName="Sheet5"/>
  <dimension ref="A1:H19"/>
  <sheetViews>
    <sheetView workbookViewId="0">
      <selection activeCell="K8" sqref="K8"/>
    </sheetView>
  </sheetViews>
  <sheetFormatPr defaultRowHeight="14.4" x14ac:dyDescent="0.3"/>
  <cols>
    <col min="1" max="1" width="18.44140625" customWidth="1"/>
    <col min="2" max="2" width="17.77734375" customWidth="1"/>
    <col min="3" max="3" width="15.6640625" customWidth="1"/>
    <col min="4" max="4" width="15.33203125" customWidth="1"/>
    <col min="5" max="5" width="13.88671875" customWidth="1"/>
    <col min="6" max="6" width="14.33203125" customWidth="1"/>
    <col min="7" max="7" width="21.6640625" customWidth="1"/>
    <col min="8" max="8" width="29.88671875" customWidth="1"/>
  </cols>
  <sheetData>
    <row r="1" spans="1:8" ht="33" customHeight="1" x14ac:dyDescent="0.3">
      <c r="A1" s="1" t="s">
        <v>1</v>
      </c>
      <c r="B1" s="2" t="s">
        <v>35</v>
      </c>
      <c r="C1" s="4" t="s">
        <v>0</v>
      </c>
      <c r="D1" s="3" t="s">
        <v>34</v>
      </c>
      <c r="E1" s="3" t="s">
        <v>32</v>
      </c>
      <c r="F1" s="3" t="s">
        <v>33</v>
      </c>
      <c r="G1" s="4" t="s">
        <v>31</v>
      </c>
      <c r="H1" s="4" t="s">
        <v>2</v>
      </c>
    </row>
    <row r="2" spans="1:8" ht="20.399999999999999" x14ac:dyDescent="0.3">
      <c r="A2" s="13" t="s">
        <v>3</v>
      </c>
      <c r="B2" s="5" t="s">
        <v>4</v>
      </c>
      <c r="C2" s="6"/>
      <c r="D2" s="7"/>
      <c r="E2" s="10"/>
      <c r="F2" s="10"/>
      <c r="G2" s="8"/>
      <c r="H2" s="8"/>
    </row>
    <row r="3" spans="1:8" ht="30.6" x14ac:dyDescent="0.3">
      <c r="A3" s="11" t="s">
        <v>5</v>
      </c>
      <c r="B3" s="14" t="s">
        <v>6</v>
      </c>
      <c r="C3" s="6"/>
      <c r="D3" s="7"/>
      <c r="E3" s="10"/>
      <c r="F3" s="10"/>
      <c r="G3" s="8"/>
      <c r="H3" s="8"/>
    </row>
    <row r="4" spans="1:8" ht="20.399999999999999" x14ac:dyDescent="0.3">
      <c r="A4" s="13" t="s">
        <v>7</v>
      </c>
      <c r="B4" s="5" t="s">
        <v>8</v>
      </c>
      <c r="C4" s="6"/>
      <c r="D4" s="7"/>
      <c r="E4" s="10"/>
      <c r="F4" s="10"/>
      <c r="G4" s="8"/>
      <c r="H4" s="8"/>
    </row>
    <row r="5" spans="1:8" x14ac:dyDescent="0.3">
      <c r="A5" s="9"/>
      <c r="B5" s="5" t="s">
        <v>9</v>
      </c>
      <c r="C5" s="6"/>
      <c r="D5" s="7"/>
      <c r="E5" s="10"/>
      <c r="F5" s="10"/>
      <c r="G5" s="8"/>
      <c r="H5" s="8"/>
    </row>
    <row r="6" spans="1:8" x14ac:dyDescent="0.3">
      <c r="A6" s="9"/>
      <c r="B6" s="5" t="s">
        <v>10</v>
      </c>
      <c r="C6" s="6"/>
      <c r="D6" s="7"/>
      <c r="E6" s="10"/>
      <c r="F6" s="10"/>
      <c r="G6" s="8"/>
      <c r="H6" s="8"/>
    </row>
    <row r="7" spans="1:8" ht="20.399999999999999" x14ac:dyDescent="0.3">
      <c r="A7" s="9"/>
      <c r="B7" s="5" t="s">
        <v>11</v>
      </c>
      <c r="C7" s="6"/>
      <c r="D7" s="7"/>
      <c r="E7" s="10"/>
      <c r="F7" s="10"/>
      <c r="G7" s="8"/>
      <c r="H7" s="8"/>
    </row>
    <row r="8" spans="1:8" ht="30.6" x14ac:dyDescent="0.3">
      <c r="A8" s="11"/>
      <c r="B8" s="5" t="s">
        <v>12</v>
      </c>
      <c r="C8" s="6"/>
      <c r="D8" s="7"/>
      <c r="E8" s="10"/>
      <c r="F8" s="10"/>
      <c r="G8" s="8"/>
      <c r="H8" s="8"/>
    </row>
    <row r="9" spans="1:8" ht="30.6" x14ac:dyDescent="0.3">
      <c r="A9" s="11" t="s">
        <v>13</v>
      </c>
      <c r="B9" s="14" t="s">
        <v>14</v>
      </c>
      <c r="C9" s="6"/>
      <c r="D9" s="7"/>
      <c r="E9" s="10"/>
      <c r="F9" s="10"/>
      <c r="G9" s="8"/>
      <c r="H9" s="8"/>
    </row>
    <row r="10" spans="1:8" x14ac:dyDescent="0.3">
      <c r="A10" s="15" t="s">
        <v>15</v>
      </c>
      <c r="B10" s="5" t="s">
        <v>16</v>
      </c>
      <c r="C10" s="6"/>
      <c r="D10" s="7"/>
      <c r="E10" s="10"/>
      <c r="F10" s="10"/>
      <c r="G10" s="8"/>
      <c r="H10" s="8"/>
    </row>
    <row r="11" spans="1:8" ht="20.399999999999999" x14ac:dyDescent="0.3">
      <c r="A11" s="11" t="s">
        <v>17</v>
      </c>
      <c r="B11" s="14" t="s">
        <v>18</v>
      </c>
      <c r="C11" s="6"/>
      <c r="D11" s="7"/>
      <c r="E11" s="10"/>
      <c r="F11" s="10"/>
      <c r="G11" s="8"/>
      <c r="H11" s="8"/>
    </row>
    <row r="12" spans="1:8" x14ac:dyDescent="0.3">
      <c r="A12" s="15" t="s">
        <v>19</v>
      </c>
      <c r="B12" s="5" t="s">
        <v>19</v>
      </c>
      <c r="C12" s="6"/>
      <c r="D12" s="7"/>
      <c r="E12" s="10"/>
      <c r="F12" s="10"/>
      <c r="G12" s="8"/>
      <c r="H12" s="8"/>
    </row>
    <row r="13" spans="1:8" ht="20.399999999999999" x14ac:dyDescent="0.3">
      <c r="A13" s="9"/>
      <c r="B13" s="5" t="s">
        <v>20</v>
      </c>
      <c r="C13" s="6"/>
      <c r="D13" s="7"/>
      <c r="E13" s="10"/>
      <c r="F13" s="10"/>
      <c r="G13" s="8"/>
      <c r="H13" s="8"/>
    </row>
    <row r="14" spans="1:8" ht="20.399999999999999" customHeight="1" x14ac:dyDescent="0.3">
      <c r="A14" s="13" t="s">
        <v>21</v>
      </c>
      <c r="B14" s="9" t="s">
        <v>22</v>
      </c>
      <c r="C14" s="6"/>
      <c r="D14" s="7"/>
      <c r="E14" s="10"/>
      <c r="F14" s="10"/>
      <c r="G14" s="8"/>
      <c r="H14" s="8"/>
    </row>
    <row r="15" spans="1:8" x14ac:dyDescent="0.3">
      <c r="A15" s="11" t="s">
        <v>23</v>
      </c>
      <c r="B15" s="12" t="s">
        <v>24</v>
      </c>
      <c r="C15" s="6"/>
      <c r="D15" s="7"/>
      <c r="E15" s="10"/>
      <c r="F15" s="10"/>
      <c r="G15" s="8"/>
      <c r="H15" s="8"/>
    </row>
    <row r="16" spans="1:8" x14ac:dyDescent="0.3">
      <c r="A16" s="15" t="s">
        <v>25</v>
      </c>
      <c r="B16" s="12" t="s">
        <v>26</v>
      </c>
      <c r="C16" s="6"/>
      <c r="D16" s="7"/>
      <c r="E16" s="10"/>
      <c r="F16" s="10"/>
      <c r="G16" s="8"/>
      <c r="H16" s="8"/>
    </row>
    <row r="17" spans="1:8" ht="20.399999999999999" x14ac:dyDescent="0.3">
      <c r="A17" s="11"/>
      <c r="B17" s="12" t="s">
        <v>27</v>
      </c>
      <c r="C17" s="6"/>
      <c r="D17" s="7"/>
      <c r="E17" s="10"/>
      <c r="F17" s="10"/>
      <c r="G17" s="8"/>
      <c r="H17" s="8"/>
    </row>
    <row r="18" spans="1:8" x14ac:dyDescent="0.3">
      <c r="A18" s="15" t="s">
        <v>28</v>
      </c>
      <c r="B18" s="9" t="s">
        <v>29</v>
      </c>
      <c r="C18" s="6"/>
      <c r="D18" s="7"/>
      <c r="E18" s="10"/>
      <c r="F18" s="10"/>
      <c r="G18" s="8"/>
      <c r="H18" s="8"/>
    </row>
    <row r="19" spans="1:8" x14ac:dyDescent="0.3">
      <c r="A19" s="9"/>
      <c r="B19" s="9" t="s">
        <v>30</v>
      </c>
      <c r="C19" s="6"/>
      <c r="D19" s="7"/>
      <c r="E19" s="10"/>
      <c r="F19" s="10"/>
      <c r="G19" s="8"/>
      <c r="H19" s="8"/>
    </row>
  </sheetData>
  <dataConsolidate link="1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A47BF-7A9B-4F15-8291-3477E8B3B055}">
  <sheetPr codeName="Sheet1"/>
  <dimension ref="A3:A25"/>
  <sheetViews>
    <sheetView workbookViewId="0">
      <selection activeCell="A2" sqref="A2"/>
    </sheetView>
  </sheetViews>
  <sheetFormatPr defaultRowHeight="14.4" x14ac:dyDescent="0.3"/>
  <cols>
    <col min="1" max="1" width="14.21875" customWidth="1"/>
  </cols>
  <sheetData>
    <row r="3" spans="1:1" x14ac:dyDescent="0.3">
      <c r="A3">
        <v>1</v>
      </c>
    </row>
    <row r="4" spans="1:1" x14ac:dyDescent="0.3">
      <c r="A4" t="s">
        <v>37</v>
      </c>
    </row>
    <row r="5" spans="1:1" x14ac:dyDescent="0.3">
      <c r="A5" t="s">
        <v>47</v>
      </c>
    </row>
    <row r="6" spans="1:1" x14ac:dyDescent="0.3">
      <c r="A6" t="s">
        <v>38</v>
      </c>
    </row>
    <row r="9" spans="1:1" x14ac:dyDescent="0.3">
      <c r="A9">
        <v>0</v>
      </c>
    </row>
    <row r="10" spans="1:1" x14ac:dyDescent="0.3">
      <c r="A10" t="s">
        <v>37</v>
      </c>
    </row>
    <row r="11" spans="1:1" x14ac:dyDescent="0.3">
      <c r="A11" t="s">
        <v>39</v>
      </c>
    </row>
    <row r="12" spans="1:1" x14ac:dyDescent="0.3">
      <c r="A12" t="s">
        <v>36</v>
      </c>
    </row>
    <row r="13" spans="1:1" x14ac:dyDescent="0.3">
      <c r="A13" t="s">
        <v>40</v>
      </c>
    </row>
    <row r="15" spans="1:1" x14ac:dyDescent="0.3">
      <c r="A15">
        <v>0</v>
      </c>
    </row>
    <row r="16" spans="1:1" x14ac:dyDescent="0.3">
      <c r="A16" t="s">
        <v>37</v>
      </c>
    </row>
    <row r="17" spans="1:1" x14ac:dyDescent="0.3">
      <c r="A17" t="s">
        <v>41</v>
      </c>
    </row>
    <row r="18" spans="1:1" x14ac:dyDescent="0.3">
      <c r="A18" t="s">
        <v>42</v>
      </c>
    </row>
    <row r="19" spans="1:1" x14ac:dyDescent="0.3">
      <c r="A19" t="s">
        <v>43</v>
      </c>
    </row>
    <row r="21" spans="1:1" x14ac:dyDescent="0.3">
      <c r="A21">
        <v>0</v>
      </c>
    </row>
    <row r="22" spans="1:1" x14ac:dyDescent="0.3">
      <c r="A22" t="s">
        <v>37</v>
      </c>
    </row>
    <row r="23" spans="1:1" x14ac:dyDescent="0.3">
      <c r="A23" t="s">
        <v>45</v>
      </c>
    </row>
    <row r="24" spans="1:1" x14ac:dyDescent="0.3">
      <c r="A24" t="s">
        <v>44</v>
      </c>
    </row>
    <row r="25" spans="1:1" x14ac:dyDescent="0.3">
      <c r="A25" t="s">
        <v>46</v>
      </c>
    </row>
  </sheetData>
  <dataConsolidate link="1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2FA31-A54E-429B-BE5A-25FCF6B73F11}">
  <sheetPr codeName="Sheet13"/>
  <dimension ref="A7:H69"/>
  <sheetViews>
    <sheetView tabSelected="1" topLeftCell="A20" workbookViewId="0">
      <selection activeCell="J11" sqref="J11"/>
    </sheetView>
  </sheetViews>
  <sheetFormatPr defaultRowHeight="14.4" x14ac:dyDescent="0.3"/>
  <cols>
    <col min="1" max="1" width="20.5546875" customWidth="1"/>
    <col min="2" max="2" width="17.77734375" customWidth="1"/>
    <col min="3" max="3" width="15.6640625" customWidth="1"/>
    <col min="4" max="4" width="15.33203125" customWidth="1"/>
    <col min="5" max="5" width="13.88671875" customWidth="1"/>
    <col min="6" max="6" width="14.33203125" customWidth="1"/>
    <col min="7" max="7" width="21.6640625" customWidth="1"/>
    <col min="8" max="8" width="29.88671875" customWidth="1"/>
  </cols>
  <sheetData>
    <row r="7" spans="1:8" x14ac:dyDescent="0.3">
      <c r="A7" s="26" t="s">
        <v>39</v>
      </c>
      <c r="B7" s="26"/>
      <c r="C7" s="26"/>
      <c r="D7" s="26"/>
      <c r="E7" s="26"/>
      <c r="F7" s="26"/>
      <c r="G7" s="26"/>
      <c r="H7" s="26"/>
    </row>
    <row r="8" spans="1:8" x14ac:dyDescent="0.3">
      <c r="A8" s="20" t="s">
        <v>1</v>
      </c>
      <c r="B8" s="21" t="s">
        <v>35</v>
      </c>
      <c r="C8" s="22" t="s">
        <v>0</v>
      </c>
      <c r="D8" s="23" t="s">
        <v>34</v>
      </c>
      <c r="E8" s="23" t="s">
        <v>32</v>
      </c>
      <c r="F8" s="23" t="s">
        <v>33</v>
      </c>
      <c r="G8" s="22" t="s">
        <v>31</v>
      </c>
      <c r="H8" s="22" t="s">
        <v>2</v>
      </c>
    </row>
    <row r="9" spans="1:8" ht="20.399999999999999" x14ac:dyDescent="0.3">
      <c r="A9" s="16" t="s">
        <v>3</v>
      </c>
      <c r="B9" s="5" t="s">
        <v>4</v>
      </c>
      <c r="C9" s="6"/>
      <c r="D9" s="7"/>
      <c r="E9" s="10"/>
      <c r="F9" s="10"/>
      <c r="G9" s="8"/>
      <c r="H9" s="8"/>
    </row>
    <row r="10" spans="1:8" ht="30.6" x14ac:dyDescent="0.3">
      <c r="A10" s="17" t="s">
        <v>5</v>
      </c>
      <c r="B10" s="14" t="s">
        <v>6</v>
      </c>
      <c r="C10" s="6"/>
      <c r="D10" s="7"/>
      <c r="E10" s="10"/>
      <c r="F10" s="10"/>
      <c r="G10" s="8"/>
      <c r="H10" s="8"/>
    </row>
    <row r="11" spans="1:8" ht="20.399999999999999" x14ac:dyDescent="0.3">
      <c r="A11" s="16" t="s">
        <v>7</v>
      </c>
      <c r="B11" s="5" t="s">
        <v>8</v>
      </c>
      <c r="C11" s="6"/>
      <c r="D11" s="7"/>
      <c r="E11" s="10"/>
      <c r="F11" s="10"/>
      <c r="G11" s="8"/>
      <c r="H11" s="8"/>
    </row>
    <row r="12" spans="1:8" x14ac:dyDescent="0.3">
      <c r="A12" s="18"/>
      <c r="B12" s="5" t="s">
        <v>9</v>
      </c>
      <c r="C12" s="6">
        <v>123</v>
      </c>
      <c r="D12" s="7"/>
      <c r="E12" s="10"/>
      <c r="F12" s="10"/>
      <c r="G12" s="8"/>
      <c r="H12" s="8"/>
    </row>
    <row r="13" spans="1:8" x14ac:dyDescent="0.3">
      <c r="A13" s="18"/>
      <c r="B13" s="5" t="s">
        <v>10</v>
      </c>
      <c r="C13" s="6"/>
      <c r="D13" s="7"/>
      <c r="E13" s="10"/>
      <c r="F13" s="10"/>
      <c r="G13" s="8"/>
      <c r="H13" s="8"/>
    </row>
    <row r="14" spans="1:8" ht="20.399999999999999" x14ac:dyDescent="0.3">
      <c r="A14" s="18"/>
      <c r="B14" s="5" t="s">
        <v>11</v>
      </c>
      <c r="C14" s="6"/>
      <c r="D14" s="7"/>
      <c r="E14" s="10"/>
      <c r="F14" s="10"/>
      <c r="G14" s="8"/>
      <c r="H14" s="8"/>
    </row>
    <row r="15" spans="1:8" ht="30.6" x14ac:dyDescent="0.3">
      <c r="A15" s="17"/>
      <c r="B15" s="5" t="s">
        <v>12</v>
      </c>
      <c r="C15" s="6"/>
      <c r="D15" s="7"/>
      <c r="E15" s="10"/>
      <c r="F15" s="10"/>
      <c r="G15" s="8"/>
      <c r="H15" s="8"/>
    </row>
    <row r="16" spans="1:8" ht="30.6" x14ac:dyDescent="0.3">
      <c r="A16" s="17" t="s">
        <v>13</v>
      </c>
      <c r="B16" s="14" t="s">
        <v>14</v>
      </c>
      <c r="C16" s="6"/>
      <c r="D16" s="7"/>
      <c r="E16" s="10"/>
      <c r="F16" s="10"/>
      <c r="G16" s="8"/>
      <c r="H16" s="8"/>
    </row>
    <row r="17" spans="1:8" x14ac:dyDescent="0.3">
      <c r="A17" s="19" t="s">
        <v>15</v>
      </c>
      <c r="B17" s="5" t="s">
        <v>16</v>
      </c>
      <c r="C17" s="6"/>
      <c r="D17" s="7"/>
      <c r="E17" s="10"/>
      <c r="F17" s="10"/>
      <c r="G17" s="8"/>
      <c r="H17" s="8"/>
    </row>
    <row r="18" spans="1:8" ht="20.399999999999999" x14ac:dyDescent="0.3">
      <c r="A18" s="17" t="s">
        <v>17</v>
      </c>
      <c r="B18" s="14" t="s">
        <v>18</v>
      </c>
      <c r="C18" s="6"/>
      <c r="D18" s="7"/>
      <c r="E18" s="10"/>
      <c r="F18" s="10"/>
      <c r="G18" s="8"/>
      <c r="H18" s="8"/>
    </row>
    <row r="19" spans="1:8" x14ac:dyDescent="0.3">
      <c r="A19" s="19" t="s">
        <v>19</v>
      </c>
      <c r="B19" s="5" t="s">
        <v>19</v>
      </c>
      <c r="C19" s="6"/>
      <c r="D19" s="7"/>
      <c r="E19" s="10"/>
      <c r="F19" s="10"/>
      <c r="G19" s="8"/>
      <c r="H19" s="8"/>
    </row>
    <row r="20" spans="1:8" ht="20.399999999999999" x14ac:dyDescent="0.3">
      <c r="A20" s="18"/>
      <c r="B20" s="5" t="s">
        <v>20</v>
      </c>
      <c r="C20" s="6"/>
      <c r="D20" s="7"/>
      <c r="E20" s="10"/>
      <c r="F20" s="10"/>
      <c r="G20" s="8"/>
      <c r="H20" s="8"/>
    </row>
    <row r="21" spans="1:8" x14ac:dyDescent="0.3">
      <c r="A21" s="16" t="s">
        <v>21</v>
      </c>
      <c r="B21" s="9" t="s">
        <v>22</v>
      </c>
      <c r="C21" s="6"/>
      <c r="D21" s="7"/>
      <c r="E21" s="10"/>
      <c r="F21" s="10"/>
      <c r="G21" s="8"/>
      <c r="H21" s="8"/>
    </row>
    <row r="22" spans="1:8" x14ac:dyDescent="0.3">
      <c r="A22" s="17" t="s">
        <v>23</v>
      </c>
      <c r="B22" s="12" t="s">
        <v>24</v>
      </c>
      <c r="C22" s="6"/>
      <c r="D22" s="7"/>
      <c r="E22" s="10"/>
      <c r="F22" s="10"/>
      <c r="G22" s="8"/>
      <c r="H22" s="8"/>
    </row>
    <row r="23" spans="1:8" x14ac:dyDescent="0.3">
      <c r="A23" s="19" t="s">
        <v>25</v>
      </c>
      <c r="B23" s="12" t="s">
        <v>26</v>
      </c>
      <c r="C23" s="6"/>
      <c r="D23" s="7"/>
      <c r="E23" s="10"/>
      <c r="F23" s="10"/>
      <c r="G23" s="8"/>
      <c r="H23" s="8"/>
    </row>
    <row r="24" spans="1:8" ht="20.399999999999999" x14ac:dyDescent="0.3">
      <c r="A24" s="17"/>
      <c r="B24" s="12" t="s">
        <v>27</v>
      </c>
      <c r="C24" s="6"/>
      <c r="D24" s="7"/>
      <c r="E24" s="10"/>
      <c r="F24" s="10"/>
      <c r="G24" s="8"/>
      <c r="H24" s="8"/>
    </row>
    <row r="25" spans="1:8" x14ac:dyDescent="0.3">
      <c r="A25" s="19" t="s">
        <v>28</v>
      </c>
      <c r="B25" s="9" t="s">
        <v>29</v>
      </c>
      <c r="C25" s="6"/>
      <c r="D25" s="7"/>
      <c r="E25" s="10"/>
      <c r="F25" s="10"/>
      <c r="G25" s="8"/>
      <c r="H25" s="8"/>
    </row>
    <row r="26" spans="1:8" x14ac:dyDescent="0.3">
      <c r="A26" s="18"/>
      <c r="B26" s="9" t="s">
        <v>30</v>
      </c>
      <c r="C26" s="6"/>
      <c r="D26" s="7"/>
      <c r="E26" s="10"/>
      <c r="F26" s="10"/>
      <c r="G26" s="8"/>
      <c r="H26" s="8"/>
    </row>
    <row r="27" spans="1:8" x14ac:dyDescent="0.3">
      <c r="A27">
        <f>SUBTOTAL(109,_8000v100003[SW Development Phases])</f>
        <v>0</v>
      </c>
      <c r="B27" s="27">
        <f>SUBTOTAL(109,_8000v100003[Task])</f>
        <v>0</v>
      </c>
      <c r="C27" s="24">
        <f>SUBTOTAL(109,_8000v100003[Owner])</f>
        <v>123</v>
      </c>
      <c r="D27" s="25">
        <f>SUBTOTAL(109,_8000v100003[Init Effort])</f>
        <v>0</v>
      </c>
      <c r="E27" s="28">
        <f>SUBTOTAL(109,_8000v100003[Final Effort])</f>
        <v>0</v>
      </c>
      <c r="F27" s="28">
        <f>SUBTOTAL(109,_8000v100003[Actual Effort])</f>
        <v>0</v>
      </c>
      <c r="G27" s="29">
        <f>SUBTOTAL(109,_8000v100003[Comments])</f>
        <v>0</v>
      </c>
      <c r="H27" s="29">
        <f>SUBTOTAL(109,_8000v100003[ITEM Work calculation at key-on])</f>
        <v>0</v>
      </c>
    </row>
    <row r="28" spans="1:8" x14ac:dyDescent="0.3">
      <c r="A28" s="26" t="s">
        <v>41</v>
      </c>
      <c r="B28" s="26"/>
      <c r="C28" s="26"/>
      <c r="D28" s="26"/>
      <c r="E28" s="26"/>
      <c r="F28" s="26"/>
      <c r="G28" s="26"/>
      <c r="H28" s="26"/>
    </row>
    <row r="29" spans="1:8" x14ac:dyDescent="0.3">
      <c r="A29" s="20" t="s">
        <v>1</v>
      </c>
      <c r="B29" s="21" t="s">
        <v>35</v>
      </c>
      <c r="C29" s="22" t="s">
        <v>0</v>
      </c>
      <c r="D29" s="23" t="s">
        <v>34</v>
      </c>
      <c r="E29" s="23" t="s">
        <v>32</v>
      </c>
      <c r="F29" s="23" t="s">
        <v>33</v>
      </c>
      <c r="G29" s="22" t="s">
        <v>31</v>
      </c>
      <c r="H29" s="22" t="s">
        <v>2</v>
      </c>
    </row>
    <row r="30" spans="1:8" ht="20.399999999999999" x14ac:dyDescent="0.3">
      <c r="A30" s="16" t="s">
        <v>3</v>
      </c>
      <c r="B30" s="5" t="s">
        <v>4</v>
      </c>
      <c r="C30" s="6"/>
      <c r="D30" s="7"/>
      <c r="E30" s="10"/>
      <c r="F30" s="10"/>
      <c r="G30" s="8"/>
      <c r="H30" s="8"/>
    </row>
    <row r="31" spans="1:8" ht="30.6" x14ac:dyDescent="0.3">
      <c r="A31" s="17" t="s">
        <v>5</v>
      </c>
      <c r="B31" s="14" t="s">
        <v>6</v>
      </c>
      <c r="C31" s="6"/>
      <c r="D31" s="7"/>
      <c r="E31" s="10"/>
      <c r="F31" s="10"/>
      <c r="G31" s="8"/>
      <c r="H31" s="8"/>
    </row>
    <row r="32" spans="1:8" ht="20.399999999999999" x14ac:dyDescent="0.3">
      <c r="A32" s="16" t="s">
        <v>7</v>
      </c>
      <c r="B32" s="5" t="s">
        <v>8</v>
      </c>
      <c r="C32" s="6"/>
      <c r="D32" s="7"/>
      <c r="E32" s="10"/>
      <c r="F32" s="10"/>
      <c r="G32" s="8"/>
      <c r="H32" s="8"/>
    </row>
    <row r="33" spans="1:8" x14ac:dyDescent="0.3">
      <c r="A33" s="18"/>
      <c r="B33" s="5" t="s">
        <v>9</v>
      </c>
      <c r="C33" s="6">
        <v>12345</v>
      </c>
      <c r="D33" s="7"/>
      <c r="E33" s="10"/>
      <c r="F33" s="10"/>
      <c r="G33" s="8"/>
      <c r="H33" s="8"/>
    </row>
    <row r="34" spans="1:8" x14ac:dyDescent="0.3">
      <c r="A34" s="18"/>
      <c r="B34" s="5" t="s">
        <v>10</v>
      </c>
      <c r="C34" s="6"/>
      <c r="D34" s="7"/>
      <c r="E34" s="10"/>
      <c r="F34" s="10"/>
      <c r="G34" s="8"/>
      <c r="H34" s="8"/>
    </row>
    <row r="35" spans="1:8" ht="20.399999999999999" x14ac:dyDescent="0.3">
      <c r="A35" s="18"/>
      <c r="B35" s="5" t="s">
        <v>11</v>
      </c>
      <c r="C35" s="6"/>
      <c r="D35" s="7"/>
      <c r="E35" s="10"/>
      <c r="F35" s="10"/>
      <c r="G35" s="8"/>
      <c r="H35" s="8"/>
    </row>
    <row r="36" spans="1:8" ht="30.6" x14ac:dyDescent="0.3">
      <c r="A36" s="17"/>
      <c r="B36" s="5" t="s">
        <v>12</v>
      </c>
      <c r="C36" s="6"/>
      <c r="D36" s="7"/>
      <c r="E36" s="10"/>
      <c r="F36" s="10"/>
      <c r="G36" s="8"/>
      <c r="H36" s="8"/>
    </row>
    <row r="37" spans="1:8" ht="30.6" x14ac:dyDescent="0.3">
      <c r="A37" s="17" t="s">
        <v>13</v>
      </c>
      <c r="B37" s="14" t="s">
        <v>14</v>
      </c>
      <c r="C37" s="6"/>
      <c r="D37" s="7"/>
      <c r="E37" s="10"/>
      <c r="F37" s="10"/>
      <c r="G37" s="8"/>
      <c r="H37" s="8"/>
    </row>
    <row r="38" spans="1:8" x14ac:dyDescent="0.3">
      <c r="A38" s="19" t="s">
        <v>15</v>
      </c>
      <c r="B38" s="5" t="s">
        <v>16</v>
      </c>
      <c r="C38" s="6"/>
      <c r="D38" s="7"/>
      <c r="E38" s="10"/>
      <c r="F38" s="10"/>
      <c r="G38" s="8"/>
      <c r="H38" s="8"/>
    </row>
    <row r="39" spans="1:8" ht="20.399999999999999" x14ac:dyDescent="0.3">
      <c r="A39" s="17" t="s">
        <v>17</v>
      </c>
      <c r="B39" s="14" t="s">
        <v>18</v>
      </c>
      <c r="C39" s="6"/>
      <c r="D39" s="7"/>
      <c r="E39" s="10"/>
      <c r="F39" s="10"/>
      <c r="G39" s="8"/>
      <c r="H39" s="8"/>
    </row>
    <row r="40" spans="1:8" x14ac:dyDescent="0.3">
      <c r="A40" s="19" t="s">
        <v>19</v>
      </c>
      <c r="B40" s="5" t="s">
        <v>19</v>
      </c>
      <c r="C40" s="6"/>
      <c r="D40" s="7"/>
      <c r="E40" s="10"/>
      <c r="F40" s="10"/>
      <c r="G40" s="8"/>
      <c r="H40" s="8"/>
    </row>
    <row r="41" spans="1:8" ht="20.399999999999999" x14ac:dyDescent="0.3">
      <c r="A41" s="18"/>
      <c r="B41" s="5" t="s">
        <v>20</v>
      </c>
      <c r="C41" s="6"/>
      <c r="D41" s="7"/>
      <c r="E41" s="10"/>
      <c r="F41" s="10"/>
      <c r="G41" s="8"/>
      <c r="H41" s="8"/>
    </row>
    <row r="42" spans="1:8" x14ac:dyDescent="0.3">
      <c r="A42" s="16" t="s">
        <v>21</v>
      </c>
      <c r="B42" s="9" t="s">
        <v>22</v>
      </c>
      <c r="C42" s="6"/>
      <c r="D42" s="7"/>
      <c r="E42" s="10"/>
      <c r="F42" s="10"/>
      <c r="G42" s="8"/>
      <c r="H42" s="8"/>
    </row>
    <row r="43" spans="1:8" x14ac:dyDescent="0.3">
      <c r="A43" s="17" t="s">
        <v>23</v>
      </c>
      <c r="B43" s="12" t="s">
        <v>24</v>
      </c>
      <c r="C43" s="6"/>
      <c r="D43" s="7"/>
      <c r="E43" s="10"/>
      <c r="F43" s="10"/>
      <c r="G43" s="8"/>
      <c r="H43" s="8"/>
    </row>
    <row r="44" spans="1:8" x14ac:dyDescent="0.3">
      <c r="A44" s="19" t="s">
        <v>25</v>
      </c>
      <c r="B44" s="12" t="s">
        <v>26</v>
      </c>
      <c r="C44" s="6"/>
      <c r="D44" s="7"/>
      <c r="E44" s="10"/>
      <c r="F44" s="10"/>
      <c r="G44" s="8"/>
      <c r="H44" s="8"/>
    </row>
    <row r="45" spans="1:8" ht="20.399999999999999" x14ac:dyDescent="0.3">
      <c r="A45" s="17"/>
      <c r="B45" s="12" t="s">
        <v>27</v>
      </c>
      <c r="C45" s="6"/>
      <c r="D45" s="7"/>
      <c r="E45" s="10"/>
      <c r="F45" s="10"/>
      <c r="G45" s="8"/>
      <c r="H45" s="8"/>
    </row>
    <row r="46" spans="1:8" x14ac:dyDescent="0.3">
      <c r="A46" s="19" t="s">
        <v>28</v>
      </c>
      <c r="B46" s="9" t="s">
        <v>29</v>
      </c>
      <c r="C46" s="6"/>
      <c r="D46" s="7"/>
      <c r="E46" s="10"/>
      <c r="F46" s="10"/>
      <c r="G46" s="8"/>
      <c r="H46" s="8"/>
    </row>
    <row r="47" spans="1:8" x14ac:dyDescent="0.3">
      <c r="A47" s="18"/>
      <c r="B47" s="9" t="s">
        <v>30</v>
      </c>
      <c r="C47" s="6"/>
      <c r="D47" s="7"/>
      <c r="E47" s="10"/>
      <c r="F47" s="10"/>
      <c r="G47" s="8"/>
      <c r="H47" s="8"/>
    </row>
    <row r="48" spans="1:8" x14ac:dyDescent="0.3">
      <c r="A48">
        <f>SUBTOTAL(109,_8000v10last[SW Development Phases])</f>
        <v>0</v>
      </c>
      <c r="B48" s="27">
        <f>SUBTOTAL(109,_8000v10last[Task])</f>
        <v>0</v>
      </c>
      <c r="C48" s="24">
        <f>SUBTOTAL(109,_8000v10last[Owner])</f>
        <v>12345</v>
      </c>
      <c r="D48" s="25">
        <f>SUBTOTAL(109,_8000v10last[Init Effort])</f>
        <v>0</v>
      </c>
      <c r="E48" s="28">
        <f>SUBTOTAL(109,_8000v10last[Final Effort])</f>
        <v>0</v>
      </c>
      <c r="F48" s="28">
        <f>SUBTOTAL(109,_8000v10last[Actual Effort])</f>
        <v>0</v>
      </c>
      <c r="G48" s="29">
        <f>SUBTOTAL(109,_8000v10last[Comments])</f>
        <v>0</v>
      </c>
      <c r="H48" s="29">
        <f>SUBTOTAL(109,_8000v10last[ITEM Work calculation at key-on])</f>
        <v>0</v>
      </c>
    </row>
    <row r="49" spans="1:8" x14ac:dyDescent="0.3">
      <c r="A49" s="26" t="s">
        <v>45</v>
      </c>
      <c r="B49" s="26"/>
      <c r="C49" s="26"/>
      <c r="D49" s="26"/>
      <c r="E49" s="26"/>
      <c r="F49" s="26"/>
      <c r="G49" s="26"/>
      <c r="H49" s="26"/>
    </row>
    <row r="50" spans="1:8" x14ac:dyDescent="0.3">
      <c r="A50" s="20" t="s">
        <v>1</v>
      </c>
      <c r="B50" s="21" t="s">
        <v>35</v>
      </c>
      <c r="C50" s="22" t="s">
        <v>0</v>
      </c>
      <c r="D50" s="23" t="s">
        <v>34</v>
      </c>
      <c r="E50" s="23" t="s">
        <v>32</v>
      </c>
      <c r="F50" s="23" t="s">
        <v>33</v>
      </c>
      <c r="G50" s="22" t="s">
        <v>31</v>
      </c>
      <c r="H50" s="22" t="s">
        <v>2</v>
      </c>
    </row>
    <row r="51" spans="1:8" ht="20.399999999999999" x14ac:dyDescent="0.3">
      <c r="A51" s="16" t="s">
        <v>3</v>
      </c>
      <c r="B51" s="5" t="s">
        <v>4</v>
      </c>
      <c r="C51" s="6"/>
      <c r="D51" s="7"/>
      <c r="E51" s="10"/>
      <c r="F51" s="10"/>
      <c r="G51" s="8"/>
      <c r="H51" s="8"/>
    </row>
    <row r="52" spans="1:8" ht="30.6" x14ac:dyDescent="0.3">
      <c r="A52" s="17" t="s">
        <v>5</v>
      </c>
      <c r="B52" s="14" t="s">
        <v>6</v>
      </c>
      <c r="C52" s="6"/>
      <c r="D52" s="7"/>
      <c r="E52" s="10"/>
      <c r="F52" s="10"/>
      <c r="G52" s="8"/>
      <c r="H52" s="8"/>
    </row>
    <row r="53" spans="1:8" ht="20.399999999999999" x14ac:dyDescent="0.3">
      <c r="A53" s="16" t="s">
        <v>7</v>
      </c>
      <c r="B53" s="5" t="s">
        <v>8</v>
      </c>
      <c r="C53" s="6"/>
      <c r="D53" s="7"/>
      <c r="E53" s="10"/>
      <c r="F53" s="10"/>
      <c r="G53" s="8"/>
      <c r="H53" s="8"/>
    </row>
    <row r="54" spans="1:8" x14ac:dyDescent="0.3">
      <c r="A54" s="18"/>
      <c r="B54" s="5" t="s">
        <v>9</v>
      </c>
      <c r="C54" s="6"/>
      <c r="D54" s="7"/>
      <c r="E54" s="10"/>
      <c r="F54" s="10"/>
      <c r="G54" s="8"/>
      <c r="H54" s="8"/>
    </row>
    <row r="55" spans="1:8" x14ac:dyDescent="0.3">
      <c r="A55" s="18"/>
      <c r="B55" s="5" t="s">
        <v>10</v>
      </c>
      <c r="C55" s="6"/>
      <c r="D55" s="7"/>
      <c r="E55" s="10"/>
      <c r="F55" s="10"/>
      <c r="G55" s="8"/>
      <c r="H55" s="8"/>
    </row>
    <row r="56" spans="1:8" ht="20.399999999999999" x14ac:dyDescent="0.3">
      <c r="A56" s="18"/>
      <c r="B56" s="5" t="s">
        <v>11</v>
      </c>
      <c r="C56" s="6"/>
      <c r="D56" s="7"/>
      <c r="E56" s="10"/>
      <c r="F56" s="10"/>
      <c r="G56" s="8"/>
      <c r="H56" s="8"/>
    </row>
    <row r="57" spans="1:8" ht="30.6" x14ac:dyDescent="0.3">
      <c r="A57" s="17"/>
      <c r="B57" s="5" t="s">
        <v>12</v>
      </c>
      <c r="C57" s="6"/>
      <c r="D57" s="7"/>
      <c r="E57" s="10"/>
      <c r="F57" s="10"/>
      <c r="G57" s="8"/>
      <c r="H57" s="8"/>
    </row>
    <row r="58" spans="1:8" ht="30.6" x14ac:dyDescent="0.3">
      <c r="A58" s="17" t="s">
        <v>13</v>
      </c>
      <c r="B58" s="14" t="s">
        <v>14</v>
      </c>
      <c r="C58" s="6"/>
      <c r="D58" s="7"/>
      <c r="E58" s="10"/>
      <c r="F58" s="10"/>
      <c r="G58" s="8"/>
      <c r="H58" s="8"/>
    </row>
    <row r="59" spans="1:8" x14ac:dyDescent="0.3">
      <c r="A59" s="19" t="s">
        <v>15</v>
      </c>
      <c r="B59" s="5" t="s">
        <v>16</v>
      </c>
      <c r="C59" s="6"/>
      <c r="D59" s="7"/>
      <c r="E59" s="10"/>
      <c r="F59" s="10"/>
      <c r="G59" s="8"/>
      <c r="H59" s="8"/>
    </row>
    <row r="60" spans="1:8" ht="20.399999999999999" x14ac:dyDescent="0.3">
      <c r="A60" s="17" t="s">
        <v>17</v>
      </c>
      <c r="B60" s="14" t="s">
        <v>18</v>
      </c>
      <c r="C60" s="6"/>
      <c r="D60" s="7"/>
      <c r="E60" s="10"/>
      <c r="F60" s="10"/>
      <c r="G60" s="8"/>
      <c r="H60" s="8"/>
    </row>
    <row r="61" spans="1:8" x14ac:dyDescent="0.3">
      <c r="A61" s="19" t="s">
        <v>19</v>
      </c>
      <c r="B61" s="5" t="s">
        <v>19</v>
      </c>
      <c r="C61" s="6"/>
      <c r="D61" s="7"/>
      <c r="E61" s="10"/>
      <c r="F61" s="10"/>
      <c r="G61" s="8"/>
      <c r="H61" s="8"/>
    </row>
    <row r="62" spans="1:8" ht="20.399999999999999" x14ac:dyDescent="0.3">
      <c r="A62" s="18"/>
      <c r="B62" s="5" t="s">
        <v>20</v>
      </c>
      <c r="C62" s="6"/>
      <c r="D62" s="7"/>
      <c r="E62" s="10"/>
      <c r="F62" s="10"/>
      <c r="G62" s="8"/>
      <c r="H62" s="8"/>
    </row>
    <row r="63" spans="1:8" x14ac:dyDescent="0.3">
      <c r="A63" s="16" t="s">
        <v>21</v>
      </c>
      <c r="B63" s="9" t="s">
        <v>22</v>
      </c>
      <c r="C63" s="6"/>
      <c r="D63" s="7"/>
      <c r="E63" s="10"/>
      <c r="F63" s="10"/>
      <c r="G63" s="8"/>
      <c r="H63" s="8"/>
    </row>
    <row r="64" spans="1:8" x14ac:dyDescent="0.3">
      <c r="A64" s="17" t="s">
        <v>23</v>
      </c>
      <c r="B64" s="12" t="s">
        <v>24</v>
      </c>
      <c r="C64" s="6"/>
      <c r="D64" s="7"/>
      <c r="E64" s="10"/>
      <c r="F64" s="10"/>
      <c r="G64" s="8"/>
      <c r="H64" s="8"/>
    </row>
    <row r="65" spans="1:8" x14ac:dyDescent="0.3">
      <c r="A65" s="19" t="s">
        <v>25</v>
      </c>
      <c r="B65" s="12" t="s">
        <v>26</v>
      </c>
      <c r="C65" s="6"/>
      <c r="D65" s="7"/>
      <c r="E65" s="10"/>
      <c r="F65" s="10"/>
      <c r="G65" s="8"/>
      <c r="H65" s="8"/>
    </row>
    <row r="66" spans="1:8" ht="20.399999999999999" x14ac:dyDescent="0.3">
      <c r="A66" s="17"/>
      <c r="B66" s="12" t="s">
        <v>27</v>
      </c>
      <c r="C66" s="6"/>
      <c r="D66" s="7"/>
      <c r="E66" s="10"/>
      <c r="F66" s="10"/>
      <c r="G66" s="8"/>
      <c r="H66" s="8"/>
    </row>
    <row r="67" spans="1:8" x14ac:dyDescent="0.3">
      <c r="A67" s="19" t="s">
        <v>28</v>
      </c>
      <c r="B67" s="9" t="s">
        <v>29</v>
      </c>
      <c r="C67" s="6"/>
      <c r="D67" s="7"/>
      <c r="E67" s="10"/>
      <c r="F67" s="10"/>
      <c r="G67" s="8"/>
      <c r="H67" s="8"/>
    </row>
    <row r="68" spans="1:8" x14ac:dyDescent="0.3">
      <c r="A68" s="18"/>
      <c r="B68" s="9" t="s">
        <v>30</v>
      </c>
      <c r="C68" s="6"/>
      <c r="D68" s="7"/>
      <c r="E68" s="10"/>
      <c r="F68" s="10"/>
      <c r="G68" s="8"/>
      <c r="H68" s="8"/>
    </row>
    <row r="69" spans="1:8" x14ac:dyDescent="0.3">
      <c r="A69">
        <f>SUBTOTAL(109,_8000v10lastone[SW Development Phases])</f>
        <v>0</v>
      </c>
      <c r="B69" s="27">
        <f>SUBTOTAL(109,_8000v10lastone[Task])</f>
        <v>0</v>
      </c>
      <c r="C69" s="24">
        <f>SUBTOTAL(109,_8000v10lastone[Owner])</f>
        <v>0</v>
      </c>
      <c r="D69" s="25">
        <f>SUBTOTAL(109,_8000v10lastone[Init Effort])</f>
        <v>0</v>
      </c>
      <c r="E69" s="28">
        <f>SUBTOTAL(109,_8000v10lastone[Final Effort])</f>
        <v>0</v>
      </c>
      <c r="F69" s="28">
        <f>SUBTOTAL(109,_8000v10lastone[Actual Effort])</f>
        <v>0</v>
      </c>
      <c r="G69" s="29">
        <f>SUBTOTAL(109,_8000v10lastone[Comments])</f>
        <v>0</v>
      </c>
      <c r="H69" s="29">
        <f>SUBTOTAL(109,_8000v10lastone[ITEM Work calculation at key-on])</f>
        <v>0</v>
      </c>
    </row>
  </sheetData>
  <mergeCells count="3">
    <mergeCell ref="A7:H7"/>
    <mergeCell ref="A28:H28"/>
    <mergeCell ref="A49:H49"/>
  </mergeCells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Control Panel</vt:lpstr>
      <vt:lpstr>FRTemplate</vt:lpstr>
      <vt:lpstr>Variables</vt:lpstr>
      <vt:lpstr>8000v10</vt:lpstr>
      <vt:lpstr>n_8000v10_st</vt:lpstr>
      <vt:lpstr>n_8000v100003_st</vt:lpstr>
      <vt:lpstr>n_8000v10last_st</vt:lpstr>
      <vt:lpstr>n_8000v10lastone_st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StefanoParacchino</dc:creator>
  <cp:lastModifiedBy>StefanoParacchino</cp:lastModifiedBy>
  <dcterms:created xsi:type="dcterms:W3CDTF">2022-10-07T14:09:48Z</dcterms:created>
  <dcterms:modified xsi:type="dcterms:W3CDTF">2022-11-04T00:10:41Z</dcterms:modified>
</cp:coreProperties>
</file>