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oParacchino\DEV\MYDEV\GIT\ExcelProjectManager\"/>
    </mc:Choice>
  </mc:AlternateContent>
  <xr:revisionPtr revIDLastSave="0" documentId="13_ncr:1_{A906D671-5F84-4AE7-AD5A-EE375FE15519}" xr6:coauthVersionLast="47" xr6:coauthVersionMax="47" xr10:uidLastSave="{00000000-0000-0000-0000-000000000000}"/>
  <bookViews>
    <workbookView xWindow="28692" yWindow="-108" windowWidth="38616" windowHeight="15696" activeTab="1" xr2:uid="{73E8ABFB-8EEA-4870-A284-22ED9B50B6C6}"/>
  </bookViews>
  <sheets>
    <sheet name="Control Panel" sheetId="179" r:id="rId1"/>
    <sheet name="FRTemplate" sheetId="5" r:id="rId2"/>
    <sheet name="Variables" sheetId="154" state="hidden" r:id="rId3"/>
    <sheet name="p2048" sheetId="275" r:id="rId4"/>
    <sheet name="pippo" sheetId="276" r:id="rId5"/>
  </sheets>
  <functionGroups builtInGroupCount="19"/>
  <definedNames>
    <definedName name="n_p2048_st">Variables!$A$8:$A$11</definedName>
    <definedName name="n_p20480001_st">Variables!$A$2:$A$6</definedName>
    <definedName name="n_p20481002_st">Variables!$A$13:$A$17</definedName>
    <definedName name="n_pippo_st">Variables!$A$19:$A$20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276" l="1"/>
  <c r="G22" i="275"/>
  <c r="F22" i="275"/>
  <c r="E22" i="275"/>
  <c r="D22" i="275"/>
  <c r="C22" i="275"/>
  <c r="B22" i="275"/>
  <c r="A22" i="275"/>
  <c r="G11" i="275"/>
  <c r="F11" i="275"/>
  <c r="E11" i="275"/>
  <c r="D11" i="275"/>
  <c r="C11" i="275"/>
  <c r="B11" i="275"/>
  <c r="A11" i="275"/>
</calcChain>
</file>

<file path=xl/sharedStrings.xml><?xml version="1.0" encoding="utf-8"?>
<sst xmlns="http://schemas.openxmlformats.org/spreadsheetml/2006/main" count="101" uniqueCount="52">
  <si>
    <t>Owner</t>
  </si>
  <si>
    <t>SW Development Phases</t>
  </si>
  <si>
    <t>ITEM Work calculation at key-on</t>
  </si>
  <si>
    <t>Requirement Specification</t>
  </si>
  <si>
    <t>Requirement Specification Analysis</t>
  </si>
  <si>
    <t>FR Frozen</t>
  </si>
  <si>
    <t>Requirement Specification Analysis (Supervisor)</t>
  </si>
  <si>
    <t>Code Implementation</t>
  </si>
  <si>
    <t>Data structure implementation (Mercury)</t>
  </si>
  <si>
    <t>Modelling</t>
  </si>
  <si>
    <t>Modelling (Supervisor)</t>
  </si>
  <si>
    <t>Model Testing (MIL +  Model Advisor)</t>
  </si>
  <si>
    <t>Model Testing (MIL +  Model Advisor) (Supervisor)</t>
  </si>
  <si>
    <t>Design Frozen</t>
  </si>
  <si>
    <t>Code Integration in the ECU platform (with successful Compilation)</t>
  </si>
  <si>
    <t>Software Testing</t>
  </si>
  <si>
    <t>Unit Test + Polyspace</t>
  </si>
  <si>
    <t>Implemented</t>
  </si>
  <si>
    <t>Unit Test + Polyspace (Supervisor)</t>
  </si>
  <si>
    <t>Documentation</t>
  </si>
  <si>
    <t>Requirements Mapping (Polarion Connector)</t>
  </si>
  <si>
    <t>Delivery - Versioning</t>
  </si>
  <si>
    <t>SVN Versioning</t>
  </si>
  <si>
    <t>Delivered</t>
  </si>
  <si>
    <t>ClearCase + Polarion</t>
  </si>
  <si>
    <t>Post delivery</t>
  </si>
  <si>
    <t>Support Post Delivery</t>
  </si>
  <si>
    <t>Support Post Delivery (Supervisor)</t>
  </si>
  <si>
    <t>Other</t>
  </si>
  <si>
    <t xml:space="preserve"> Other</t>
  </si>
  <si>
    <t xml:space="preserve"> Other (Supervisor)</t>
  </si>
  <si>
    <t>Comments</t>
  </si>
  <si>
    <t>Actual Effort</t>
  </si>
  <si>
    <t>Init Effort</t>
  </si>
  <si>
    <t>Task</t>
  </si>
  <si>
    <t>$A$1</t>
  </si>
  <si>
    <t>date</t>
  </si>
  <si>
    <t>Project</t>
  </si>
  <si>
    <t>FR</t>
  </si>
  <si>
    <t>Activity</t>
  </si>
  <si>
    <t>Hours</t>
  </si>
  <si>
    <t>$A$12</t>
  </si>
  <si>
    <t>pippo</t>
  </si>
  <si>
    <t>p2048</t>
  </si>
  <si>
    <t>p20481002</t>
  </si>
  <si>
    <t>$A$2:$G$11</t>
  </si>
  <si>
    <t>$A$1:$G$9</t>
  </si>
  <si>
    <t>$A$13:$G$22</t>
  </si>
  <si>
    <t>$A$23</t>
  </si>
  <si>
    <t>Expected Effort</t>
  </si>
  <si>
    <t>p20480001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</si>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</sst>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1"/>
    </font>
    <font>
      <sz val="8"/>
      <name val="Arial"/>
      <family val="2"/>
      <charset val="1"/>
    </font>
    <font>
      <i/>
      <sz val="8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rgb="FFFFE4C4"/>
        <bgColor indexed="64"/>
      </patternFill>
    </fill>
    <fill>
      <patternFill patternType="solid">
        <fgColor indexed="1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4" fillId="0" borderId="0"/>
  </cellStyleXfs>
  <cellXfs count="31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right" vertical="center"/>
    </xf>
    <xf numFmtId="164" fontId="3" fillId="4" borderId="1" xfId="0" applyNumberFormat="1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left" vertical="center"/>
    </xf>
    <xf numFmtId="164" fontId="5" fillId="5" borderId="5" xfId="1" applyNumberFormat="1" applyFont="1" applyFill="1" applyBorder="1" applyAlignment="1">
      <alignment horizontal="right" vertical="center"/>
    </xf>
    <xf numFmtId="0" fontId="2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right" vertical="center"/>
    </xf>
    <xf numFmtId="0" fontId="3" fillId="4" borderId="9" xfId="0" applyFont="1" applyFill="1" applyBorder="1" applyAlignment="1">
      <alignment horizontal="left" vertical="center" wrapText="1"/>
    </xf>
    <xf numFmtId="164" fontId="3" fillId="4" borderId="8" xfId="0" applyNumberFormat="1" applyFont="1" applyFill="1" applyBorder="1" applyAlignment="1">
      <alignment horizontal="right" vertical="center"/>
    </xf>
    <xf numFmtId="164" fontId="5" fillId="5" borderId="10" xfId="0" applyNumberFormat="1" applyFont="1" applyFill="1" applyBorder="1" applyAlignment="1">
      <alignment horizontal="right" vertical="center"/>
    </xf>
    <xf numFmtId="0" fontId="3" fillId="4" borderId="7" xfId="0" applyFont="1" applyFill="1" applyBorder="1" applyAlignment="1">
      <alignment horizontal="left" vertical="center"/>
    </xf>
    <xf numFmtId="15" fontId="0" fillId="7" borderId="0" xfId="0" applyNumberFormat="1" applyFill="1"/>
    <xf numFmtId="0" fontId="8" fillId="6" borderId="0" xfId="0" applyFont="1" applyFill="1" applyAlignment="1">
      <alignment horizontal="center"/>
    </xf>
  </cellXfs>
  <cellStyles count="2">
    <cellStyle name="Excel Built-in Normal" xfId="1" xr:uid="{97B716F5-B41A-48AC-9CAC-D73E2DE2674C}"/>
    <cellStyle name="Normal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10</xdr:row>
          <xdr:rowOff>144780</xdr:rowOff>
        </xdr:from>
        <xdr:to>
          <xdr:col>12</xdr:col>
          <xdr:colOff>38100</xdr:colOff>
          <xdr:row>13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3969" name="Addday_pippo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4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83970" name="Deliv_pippo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4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5445B0EA-22F8-4833-9776-413DEFE202BB}" name="p20480001" displayName="p20480001" ref="A2:G11" totalsRowCount="1" headerRowDxfId="31" tableBorderDxfId="30">
  <autoFilter ref="A2:G10" xr:uid="{5445B0EA-22F8-4833-9776-413DEFE202BB}"/>
  <tableColumns count="7">
    <tableColumn id="1" xr3:uid="{CF5D5265-CEF7-4585-80BB-C30ADC360EBB}" name="SW Development Phases" totalsRowFunction="sum" dataDxfId="29" totalsRowDxfId="13"/>
    <tableColumn id="2" xr3:uid="{261929A3-FF6F-40CC-BB7F-D98F42A04FF4}" name="Task" totalsRowFunction="sum" dataDxfId="28" totalsRowDxfId="12"/>
    <tableColumn id="3" xr3:uid="{CB042D55-E1BD-42DC-9506-BF48F930D294}" name="Owner" totalsRowFunction="sum" dataDxfId="27" totalsRowDxfId="11"/>
    <tableColumn id="4" xr3:uid="{E9247218-B230-4782-A9BD-0644377C00D1}" name="Init Effort" totalsRowFunction="sum" dataDxfId="26" totalsRowDxfId="10"/>
    <tableColumn id="5" xr3:uid="{033A4C18-2F07-4E38-9E43-09AF98369B3F}" name="Expected Effort" totalsRowFunction="sum" dataDxfId="25" totalsRowDxfId="9" dataCellStyle="Excel Built-in Normal"/>
    <tableColumn id="6" xr3:uid="{BFA09D87-FECC-4F0D-A07C-B809ECB7A075}" name="Actual Effort" totalsRowFunction="sum" dataDxfId="24" totalsRowDxfId="8" dataCellStyle="Excel Built-in Normal"/>
    <tableColumn id="7" xr3:uid="{25C04ACA-F40E-4F9E-8E8C-B5D85944D190}" name="Comments" totalsRowFunction="sum" dataDxfId="23" totalsRow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200704A-46CA-4B5D-B027-8C4FB95DA5C2}" name="p20481002" displayName="p20481002" ref="A13:G22" totalsRowCount="1" headerRowDxfId="22" tableBorderDxfId="21">
  <autoFilter ref="A13:G21" xr:uid="{9200704A-46CA-4B5D-B027-8C4FB95DA5C2}"/>
  <tableColumns count="7">
    <tableColumn id="1" xr3:uid="{A934D0DB-D3E7-48C1-8957-71B01CC162F4}" name="SW Development Phases" totalsRowFunction="sum" dataDxfId="20" totalsRowDxfId="6"/>
    <tableColumn id="2" xr3:uid="{2CE6850A-7A27-49E6-BCF2-59919E7332D5}" name="Task" totalsRowFunction="sum" dataDxfId="19" totalsRowDxfId="5"/>
    <tableColumn id="3" xr3:uid="{AAA1856C-40B6-409D-9744-920D7C086071}" name="Owner" totalsRowFunction="sum" dataDxfId="18" totalsRowDxfId="4"/>
    <tableColumn id="4" xr3:uid="{C18462F1-46FB-457D-BFE3-4812D0EE0C1D}" name="Init Effort" totalsRowFunction="sum" dataDxfId="17" totalsRowDxfId="3"/>
    <tableColumn id="5" xr3:uid="{D0919346-5321-4268-9280-A6EE30B4ADC2}" name="Expected Effort" totalsRowFunction="sum" dataDxfId="16" totalsRowDxfId="2" dataCellStyle="Excel Built-in Normal"/>
    <tableColumn id="6" xr3:uid="{5774A2D7-A37C-44E2-8863-28F2236CC9A9}" name="Actual Effort" totalsRowFunction="sum" dataDxfId="15" totalsRowDxfId="1" dataCellStyle="Excel Built-in Normal"/>
    <tableColumn id="7" xr3:uid="{55CD1F8B-69AF-40A3-A326-EBD6986CBA6D}" name="Comments" totalsRowFunction="sum" dataDxfId="14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A0EB05C6-3721-4C6F-99C2-322CF9F5DB79}" name="pippo" displayName="pippo" ref="B4:F10" totalsRowCount="1">
  <autoFilter ref="B4:F9" xr:uid="{A0EB05C6-3721-4C6F-99C2-322CF9F5DB79}"/>
  <tableColumns count="5">
    <tableColumn id="1" xr3:uid="{EEBB0F08-B0CD-40A9-95A0-C3482C828E28}" name="date" totalsRowLabel="Total"/>
    <tableColumn id="2" xr3:uid="{352189D4-5CAC-402D-A2F0-3082B8094176}" name="Project"/>
    <tableColumn id="3" xr3:uid="{13A6B397-730A-46C5-AD6F-DB74043C10DF}" name="FR"/>
    <tableColumn id="4" xr3:uid="{1F723598-BA59-452A-B834-847E1A9FD409}" name="Activity"/>
    <tableColumn id="5" xr3:uid="{E759927C-3039-41CE-8007-C5EC3142996B}" name="Hours" totalsRowFunction="sum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4D3A-3D3A-44E1-8266-C8B97B70BD4C}">
  <sheetPr codeName="Sheet10"/>
  <dimension ref="A1"/>
  <sheetViews>
    <sheetView workbookViewId="0">
      <selection activeCell="K28" sqref="K28"/>
    </sheetView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3_Click">
                <anchor moveWithCells="1">
                  <from>
                    <xdr:col>8</xdr:col>
                    <xdr:colOff>167640</xdr:colOff>
                    <xdr:row>10</xdr:row>
                    <xdr:rowOff>144780</xdr:rowOff>
                  </from>
                  <to>
                    <xdr:col>12</xdr:col>
                    <xdr:colOff>38100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607-87E1-490C-8985-54EECD4D89FA}">
  <sheetPr codeName="Sheet5"/>
  <dimension ref="A1:H19"/>
  <sheetViews>
    <sheetView tabSelected="1" topLeftCell="A12" workbookViewId="0">
      <selection activeCell="H25" sqref="H25"/>
    </sheetView>
  </sheetViews>
  <sheetFormatPr defaultRowHeight="14.4" x14ac:dyDescent="0.3"/>
  <cols>
    <col min="1" max="1" width="18.4414062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ht="33" customHeight="1" x14ac:dyDescent="0.3">
      <c r="A1" s="1" t="s">
        <v>1</v>
      </c>
      <c r="B1" s="2" t="s">
        <v>34</v>
      </c>
      <c r="C1" s="4" t="s">
        <v>0</v>
      </c>
      <c r="D1" s="3" t="s">
        <v>33</v>
      </c>
      <c r="E1" s="3" t="s">
        <v>49</v>
      </c>
      <c r="F1" s="3" t="s">
        <v>32</v>
      </c>
      <c r="G1" s="4" t="s">
        <v>31</v>
      </c>
      <c r="H1" s="4" t="s">
        <v>2</v>
      </c>
    </row>
    <row r="2" spans="1:8" ht="20.399999999999999" x14ac:dyDescent="0.3">
      <c r="A2" s="13" t="s">
        <v>3</v>
      </c>
      <c r="B2" s="5" t="s">
        <v>4</v>
      </c>
      <c r="C2" s="6"/>
      <c r="D2" s="7"/>
      <c r="E2" s="10"/>
      <c r="F2" s="10"/>
      <c r="G2" s="8"/>
      <c r="H2" s="8"/>
    </row>
    <row r="3" spans="1:8" ht="30.6" x14ac:dyDescent="0.3">
      <c r="A3" s="11" t="s">
        <v>5</v>
      </c>
      <c r="B3" s="14" t="s">
        <v>6</v>
      </c>
      <c r="C3" s="6"/>
      <c r="D3" s="7"/>
      <c r="E3" s="10"/>
      <c r="F3" s="10"/>
      <c r="G3" s="8"/>
      <c r="H3" s="8"/>
    </row>
    <row r="4" spans="1:8" ht="20.399999999999999" x14ac:dyDescent="0.3">
      <c r="A4" s="13" t="s">
        <v>7</v>
      </c>
      <c r="B4" s="5" t="s">
        <v>8</v>
      </c>
      <c r="C4" s="6"/>
      <c r="D4" s="7"/>
      <c r="E4" s="10"/>
      <c r="F4" s="10"/>
      <c r="G4" s="8"/>
      <c r="H4" s="8"/>
    </row>
    <row r="5" spans="1:8" x14ac:dyDescent="0.3">
      <c r="A5" s="9"/>
      <c r="B5" s="5" t="s">
        <v>9</v>
      </c>
      <c r="C5" s="6"/>
      <c r="D5" s="7"/>
      <c r="E5" s="10"/>
      <c r="F5" s="10"/>
      <c r="G5" s="8"/>
      <c r="H5" s="8"/>
    </row>
    <row r="6" spans="1:8" x14ac:dyDescent="0.3">
      <c r="A6" s="9"/>
      <c r="B6" s="5" t="s">
        <v>10</v>
      </c>
      <c r="C6" s="6"/>
      <c r="D6" s="7"/>
      <c r="E6" s="10"/>
      <c r="F6" s="10"/>
      <c r="G6" s="8"/>
      <c r="H6" s="8"/>
    </row>
    <row r="7" spans="1:8" ht="20.399999999999999" x14ac:dyDescent="0.3">
      <c r="A7" s="9"/>
      <c r="B7" s="5" t="s">
        <v>11</v>
      </c>
      <c r="C7" s="6"/>
      <c r="D7" s="7"/>
      <c r="E7" s="10"/>
      <c r="F7" s="10"/>
      <c r="G7" s="8"/>
      <c r="H7" s="8"/>
    </row>
    <row r="8" spans="1:8" ht="30.6" x14ac:dyDescent="0.3">
      <c r="A8" s="11"/>
      <c r="B8" s="5" t="s">
        <v>12</v>
      </c>
      <c r="C8" s="6"/>
      <c r="D8" s="7"/>
      <c r="E8" s="10"/>
      <c r="F8" s="10"/>
      <c r="G8" s="8"/>
      <c r="H8" s="8"/>
    </row>
    <row r="9" spans="1:8" ht="30.6" x14ac:dyDescent="0.3">
      <c r="A9" s="11" t="s">
        <v>13</v>
      </c>
      <c r="B9" s="14" t="s">
        <v>14</v>
      </c>
      <c r="C9" s="6"/>
      <c r="D9" s="7"/>
      <c r="E9" s="10"/>
      <c r="F9" s="10"/>
      <c r="G9" s="8"/>
      <c r="H9" s="8"/>
    </row>
    <row r="10" spans="1:8" x14ac:dyDescent="0.3">
      <c r="A10" s="15" t="s">
        <v>15</v>
      </c>
      <c r="B10" s="5" t="s">
        <v>16</v>
      </c>
      <c r="C10" s="6"/>
      <c r="D10" s="7"/>
      <c r="E10" s="10"/>
      <c r="F10" s="10"/>
      <c r="G10" s="8"/>
      <c r="H10" s="8"/>
    </row>
    <row r="11" spans="1:8" ht="20.399999999999999" x14ac:dyDescent="0.3">
      <c r="A11" s="11" t="s">
        <v>17</v>
      </c>
      <c r="B11" s="14" t="s">
        <v>18</v>
      </c>
      <c r="C11" s="6"/>
      <c r="D11" s="7"/>
      <c r="E11" s="10"/>
      <c r="F11" s="10"/>
      <c r="G11" s="8"/>
      <c r="H11" s="8"/>
    </row>
    <row r="12" spans="1:8" x14ac:dyDescent="0.3">
      <c r="A12" s="15" t="s">
        <v>19</v>
      </c>
      <c r="B12" s="5" t="s">
        <v>19</v>
      </c>
      <c r="C12" s="6"/>
      <c r="D12" s="7"/>
      <c r="E12" s="10"/>
      <c r="F12" s="10"/>
      <c r="G12" s="8"/>
      <c r="H12" s="8"/>
    </row>
    <row r="13" spans="1:8" ht="20.399999999999999" x14ac:dyDescent="0.3">
      <c r="A13" s="9"/>
      <c r="B13" s="5" t="s">
        <v>20</v>
      </c>
      <c r="C13" s="6"/>
      <c r="D13" s="7"/>
      <c r="E13" s="10"/>
      <c r="F13" s="10"/>
      <c r="G13" s="8"/>
      <c r="H13" s="8"/>
    </row>
    <row r="14" spans="1:8" ht="20.399999999999999" customHeight="1" x14ac:dyDescent="0.3">
      <c r="A14" s="13" t="s">
        <v>21</v>
      </c>
      <c r="B14" s="9" t="s">
        <v>22</v>
      </c>
      <c r="C14" s="6"/>
      <c r="D14" s="7"/>
      <c r="E14" s="10"/>
      <c r="F14" s="10"/>
      <c r="G14" s="8"/>
      <c r="H14" s="8"/>
    </row>
    <row r="15" spans="1:8" x14ac:dyDescent="0.3">
      <c r="A15" s="11" t="s">
        <v>23</v>
      </c>
      <c r="B15" s="12" t="s">
        <v>24</v>
      </c>
      <c r="C15" s="6"/>
      <c r="D15" s="7"/>
      <c r="E15" s="10"/>
      <c r="F15" s="10"/>
      <c r="G15" s="8"/>
      <c r="H15" s="8"/>
    </row>
    <row r="16" spans="1:8" x14ac:dyDescent="0.3">
      <c r="A16" s="15" t="s">
        <v>25</v>
      </c>
      <c r="B16" s="12" t="s">
        <v>26</v>
      </c>
      <c r="C16" s="6"/>
      <c r="D16" s="7"/>
      <c r="E16" s="10"/>
      <c r="F16" s="10"/>
      <c r="G16" s="8"/>
      <c r="H16" s="8"/>
    </row>
    <row r="17" spans="1:8" ht="20.399999999999999" x14ac:dyDescent="0.3">
      <c r="A17" s="11"/>
      <c r="B17" s="12" t="s">
        <v>27</v>
      </c>
      <c r="C17" s="6"/>
      <c r="D17" s="7"/>
      <c r="E17" s="10"/>
      <c r="F17" s="10"/>
      <c r="G17" s="8"/>
      <c r="H17" s="8"/>
    </row>
    <row r="18" spans="1:8" x14ac:dyDescent="0.3">
      <c r="A18" s="15" t="s">
        <v>28</v>
      </c>
      <c r="B18" s="9" t="s">
        <v>29</v>
      </c>
      <c r="C18" s="6"/>
      <c r="D18" s="7"/>
      <c r="E18" s="10"/>
      <c r="F18" s="10"/>
      <c r="G18" s="8"/>
      <c r="H18" s="8"/>
    </row>
    <row r="19" spans="1:8" x14ac:dyDescent="0.3">
      <c r="A19" s="9"/>
      <c r="B19" s="9" t="s">
        <v>30</v>
      </c>
      <c r="C19" s="6"/>
      <c r="D19" s="7"/>
      <c r="E19" s="10"/>
      <c r="F19" s="10"/>
      <c r="G19" s="8"/>
      <c r="H19" s="8"/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47BF-7A9B-4F15-8291-3477E8B3B055}">
  <sheetPr codeName="Sheet1"/>
  <dimension ref="A2:A20"/>
  <sheetViews>
    <sheetView topLeftCell="A21" workbookViewId="0">
      <selection activeCell="M17" sqref="M17"/>
    </sheetView>
  </sheetViews>
  <sheetFormatPr defaultRowHeight="14.4" x14ac:dyDescent="0.3"/>
  <cols>
    <col min="1" max="1" width="14.21875" customWidth="1"/>
  </cols>
  <sheetData>
    <row r="2" spans="1:1" x14ac:dyDescent="0.3">
      <c r="A2">
        <v>0</v>
      </c>
    </row>
    <row r="3" spans="1:1" x14ac:dyDescent="0.3">
      <c r="A3" t="s">
        <v>43</v>
      </c>
    </row>
    <row r="4" spans="1:1" x14ac:dyDescent="0.3">
      <c r="A4" t="s">
        <v>50</v>
      </c>
    </row>
    <row r="5" spans="1:1" x14ac:dyDescent="0.3">
      <c r="A5" t="s">
        <v>35</v>
      </c>
    </row>
    <row r="6" spans="1:1" x14ac:dyDescent="0.3">
      <c r="A6" t="s">
        <v>45</v>
      </c>
    </row>
    <row r="8" spans="1:1" x14ac:dyDescent="0.3">
      <c r="A8">
        <v>1</v>
      </c>
    </row>
    <row r="9" spans="1:1" x14ac:dyDescent="0.3">
      <c r="A9" t="s">
        <v>43</v>
      </c>
    </row>
    <row r="10" spans="1:1" x14ac:dyDescent="0.3">
      <c r="A10" t="s">
        <v>48</v>
      </c>
    </row>
    <row r="11" spans="1:1" x14ac:dyDescent="0.3">
      <c r="A11" t="s">
        <v>46</v>
      </c>
    </row>
    <row r="13" spans="1:1" x14ac:dyDescent="0.3">
      <c r="A13">
        <v>0</v>
      </c>
    </row>
    <row r="14" spans="1:1" x14ac:dyDescent="0.3">
      <c r="A14" t="s">
        <v>43</v>
      </c>
    </row>
    <row r="15" spans="1:1" x14ac:dyDescent="0.3">
      <c r="A15" t="s">
        <v>44</v>
      </c>
    </row>
    <row r="16" spans="1:1" x14ac:dyDescent="0.3">
      <c r="A16" t="s">
        <v>41</v>
      </c>
    </row>
    <row r="17" spans="1:1" x14ac:dyDescent="0.3">
      <c r="A17" t="s">
        <v>47</v>
      </c>
    </row>
    <row r="19" spans="1:1" x14ac:dyDescent="0.3">
      <c r="A19">
        <v>2</v>
      </c>
    </row>
    <row r="20" spans="1:1" x14ac:dyDescent="0.3">
      <c r="A20" t="s">
        <v>42</v>
      </c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08D5-DB27-49EF-82ED-3C2CE263864A}">
  <sheetPr codeName="Sheet50"/>
  <dimension ref="A1:G22"/>
  <sheetViews>
    <sheetView workbookViewId="0">
      <selection activeCell="F19" sqref="F19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</cols>
  <sheetData>
    <row r="1" spans="1:7" x14ac:dyDescent="0.3">
      <c r="A1" s="30" t="s">
        <v>50</v>
      </c>
      <c r="B1" s="30"/>
      <c r="C1" s="30"/>
      <c r="D1" s="30"/>
      <c r="E1" s="30"/>
      <c r="F1" s="30"/>
      <c r="G1" s="30"/>
    </row>
    <row r="2" spans="1:7" ht="20.399999999999999" x14ac:dyDescent="0.3">
      <c r="A2" s="19" t="s">
        <v>1</v>
      </c>
      <c r="B2" s="20" t="s">
        <v>34</v>
      </c>
      <c r="C2" s="21" t="s">
        <v>0</v>
      </c>
      <c r="D2" s="22" t="s">
        <v>33</v>
      </c>
      <c r="E2" s="22" t="s">
        <v>49</v>
      </c>
      <c r="F2" s="22" t="s">
        <v>32</v>
      </c>
      <c r="G2" s="21" t="s">
        <v>31</v>
      </c>
    </row>
    <row r="3" spans="1:7" ht="20.399999999999999" x14ac:dyDescent="0.3">
      <c r="A3" s="16" t="s">
        <v>3</v>
      </c>
      <c r="B3" s="5" t="s">
        <v>4</v>
      </c>
      <c r="C3" s="6"/>
      <c r="D3" s="7"/>
      <c r="E3" s="10"/>
      <c r="F3" s="10"/>
      <c r="G3" s="8"/>
    </row>
    <row r="4" spans="1:7" ht="30.6" x14ac:dyDescent="0.3">
      <c r="A4" s="17" t="s">
        <v>5</v>
      </c>
      <c r="B4" s="14" t="s">
        <v>6</v>
      </c>
      <c r="C4" s="6"/>
      <c r="D4" s="7"/>
      <c r="E4" s="10"/>
      <c r="F4" s="10"/>
      <c r="G4" s="8"/>
    </row>
    <row r="5" spans="1:7" ht="20.399999999999999" x14ac:dyDescent="0.3">
      <c r="A5" s="16" t="s">
        <v>7</v>
      </c>
      <c r="B5" s="5" t="s">
        <v>8</v>
      </c>
      <c r="C5" s="6"/>
      <c r="D5" s="7"/>
      <c r="E5" s="10"/>
      <c r="F5" s="10"/>
      <c r="G5" s="8"/>
    </row>
    <row r="6" spans="1:7" x14ac:dyDescent="0.3">
      <c r="A6" s="18"/>
      <c r="B6" s="5" t="s">
        <v>9</v>
      </c>
      <c r="C6" s="6"/>
      <c r="D6" s="7"/>
      <c r="E6" s="10"/>
      <c r="F6" s="10"/>
      <c r="G6" s="8"/>
    </row>
    <row r="7" spans="1:7" x14ac:dyDescent="0.3">
      <c r="A7" s="18"/>
      <c r="B7" s="5" t="s">
        <v>10</v>
      </c>
      <c r="C7" s="6"/>
      <c r="D7" s="7"/>
      <c r="E7" s="10"/>
      <c r="F7" s="10"/>
      <c r="G7" s="8"/>
    </row>
    <row r="8" spans="1:7" ht="20.399999999999999" x14ac:dyDescent="0.3">
      <c r="A8" s="18"/>
      <c r="B8" s="5" t="s">
        <v>11</v>
      </c>
      <c r="C8" s="6"/>
      <c r="D8" s="7"/>
      <c r="E8" s="10"/>
      <c r="F8" s="10"/>
      <c r="G8" s="8"/>
    </row>
    <row r="9" spans="1:7" ht="30.6" x14ac:dyDescent="0.3">
      <c r="A9" s="17"/>
      <c r="B9" s="5" t="s">
        <v>12</v>
      </c>
      <c r="C9" s="6"/>
      <c r="D9" s="7"/>
      <c r="E9" s="10"/>
      <c r="F9" s="10"/>
      <c r="G9" s="8"/>
    </row>
    <row r="10" spans="1:7" ht="30.6" x14ac:dyDescent="0.3">
      <c r="A10" s="17" t="s">
        <v>13</v>
      </c>
      <c r="B10" s="14" t="s">
        <v>14</v>
      </c>
      <c r="C10" s="6"/>
      <c r="D10" s="7"/>
      <c r="E10" s="10"/>
      <c r="F10" s="10"/>
      <c r="G10" s="8"/>
    </row>
    <row r="11" spans="1:7" x14ac:dyDescent="0.3">
      <c r="A11" s="28">
        <f>SUBTOTAL(109,p20480001[SW Development Phases])</f>
        <v>0</v>
      </c>
      <c r="B11" s="25">
        <f>SUBTOTAL(109,p20480001[Task])</f>
        <v>0</v>
      </c>
      <c r="C11" s="23">
        <f>SUBTOTAL(109,p20480001[Owner])</f>
        <v>0</v>
      </c>
      <c r="D11" s="24">
        <f>SUBTOTAL(109,p20480001[Init Effort])</f>
        <v>0</v>
      </c>
      <c r="E11" s="27">
        <f>SUBTOTAL(109,p20480001[Expected Effort])</f>
        <v>0</v>
      </c>
      <c r="F11" s="27">
        <f>SUBTOTAL(109,p20480001[Actual Effort])</f>
        <v>0</v>
      </c>
      <c r="G11" s="26">
        <f>SUBTOTAL(109,p20480001[Comments])</f>
        <v>0</v>
      </c>
    </row>
    <row r="12" spans="1:7" x14ac:dyDescent="0.3">
      <c r="A12" s="30" t="s">
        <v>44</v>
      </c>
      <c r="B12" s="30"/>
      <c r="C12" s="30"/>
      <c r="D12" s="30"/>
      <c r="E12" s="30"/>
      <c r="F12" s="30"/>
      <c r="G12" s="30"/>
    </row>
    <row r="13" spans="1:7" ht="20.399999999999999" x14ac:dyDescent="0.3">
      <c r="A13" s="19" t="s">
        <v>1</v>
      </c>
      <c r="B13" s="20" t="s">
        <v>34</v>
      </c>
      <c r="C13" s="21" t="s">
        <v>0</v>
      </c>
      <c r="D13" s="22" t="s">
        <v>33</v>
      </c>
      <c r="E13" s="22" t="s">
        <v>49</v>
      </c>
      <c r="F13" s="22" t="s">
        <v>32</v>
      </c>
      <c r="G13" s="21" t="s">
        <v>31</v>
      </c>
    </row>
    <row r="14" spans="1:7" ht="20.399999999999999" x14ac:dyDescent="0.3">
      <c r="A14" s="16" t="s">
        <v>3</v>
      </c>
      <c r="B14" s="5" t="s">
        <v>4</v>
      </c>
      <c r="C14" s="6"/>
      <c r="D14" s="7"/>
      <c r="E14" s="10"/>
      <c r="F14" s="10"/>
      <c r="G14" s="8"/>
    </row>
    <row r="15" spans="1:7" ht="30.6" x14ac:dyDescent="0.3">
      <c r="A15" s="17" t="s">
        <v>5</v>
      </c>
      <c r="B15" s="14" t="s">
        <v>6</v>
      </c>
      <c r="C15" s="6"/>
      <c r="D15" s="7"/>
      <c r="E15" s="10"/>
      <c r="F15" s="10"/>
      <c r="G15" s="8"/>
    </row>
    <row r="16" spans="1:7" ht="20.399999999999999" x14ac:dyDescent="0.3">
      <c r="A16" s="16" t="s">
        <v>7</v>
      </c>
      <c r="B16" s="5" t="s">
        <v>8</v>
      </c>
      <c r="C16" s="6"/>
      <c r="D16" s="7"/>
      <c r="E16" s="10"/>
      <c r="F16" s="10"/>
      <c r="G16" s="8"/>
    </row>
    <row r="17" spans="1:7" x14ac:dyDescent="0.3">
      <c r="A17" s="18"/>
      <c r="B17" s="5" t="s">
        <v>9</v>
      </c>
      <c r="C17" s="6"/>
      <c r="D17" s="7"/>
      <c r="E17" s="10"/>
      <c r="F17" s="10"/>
      <c r="G17" s="8"/>
    </row>
    <row r="18" spans="1:7" x14ac:dyDescent="0.3">
      <c r="A18" s="18"/>
      <c r="B18" s="5" t="s">
        <v>10</v>
      </c>
      <c r="C18" s="6"/>
      <c r="D18" s="7"/>
      <c r="E18" s="10"/>
      <c r="F18" s="10"/>
      <c r="G18" s="8"/>
    </row>
    <row r="19" spans="1:7" ht="20.399999999999999" x14ac:dyDescent="0.3">
      <c r="A19" s="18"/>
      <c r="B19" s="5" t="s">
        <v>11</v>
      </c>
      <c r="C19" s="6"/>
      <c r="D19" s="7"/>
      <c r="E19" s="10"/>
      <c r="F19" s="10">
        <v>22</v>
      </c>
      <c r="G19" s="8"/>
    </row>
    <row r="20" spans="1:7" ht="30.6" x14ac:dyDescent="0.3">
      <c r="A20" s="17"/>
      <c r="B20" s="5" t="s">
        <v>12</v>
      </c>
      <c r="C20" s="6"/>
      <c r="D20" s="7"/>
      <c r="E20" s="10"/>
      <c r="F20" s="10"/>
      <c r="G20" s="8"/>
    </row>
    <row r="21" spans="1:7" ht="30.6" x14ac:dyDescent="0.3">
      <c r="A21" s="17" t="s">
        <v>13</v>
      </c>
      <c r="B21" s="14" t="s">
        <v>14</v>
      </c>
      <c r="C21" s="6"/>
      <c r="D21" s="7"/>
      <c r="E21" s="10"/>
      <c r="F21" s="10"/>
      <c r="G21" s="8"/>
    </row>
    <row r="22" spans="1:7" x14ac:dyDescent="0.3">
      <c r="A22" s="28">
        <f>SUBTOTAL(109,p20481002[SW Development Phases])</f>
        <v>0</v>
      </c>
      <c r="B22" s="25">
        <f>SUBTOTAL(109,p20481002[Task])</f>
        <v>0</v>
      </c>
      <c r="C22" s="23">
        <f>SUBTOTAL(109,p20481002[Owner])</f>
        <v>0</v>
      </c>
      <c r="D22" s="24">
        <f>SUBTOTAL(109,p20481002[Init Effort])</f>
        <v>0</v>
      </c>
      <c r="E22" s="27">
        <f>SUBTOTAL(109,p20481002[Expected Effort])</f>
        <v>0</v>
      </c>
      <c r="F22" s="27">
        <f>SUBTOTAL(109,p20481002[Actual Effort])</f>
        <v>22</v>
      </c>
      <c r="G22" s="26">
        <f>SUBTOTAL(109,p20481002[Comments])</f>
        <v>0</v>
      </c>
    </row>
  </sheetData>
  <mergeCells count="2">
    <mergeCell ref="A1:G1"/>
    <mergeCell ref="A12:G12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378D9-CA52-44A3-A13B-372F5832DBC1}">
  <sheetPr codeName="Sheet51"/>
  <dimension ref="B4:H11"/>
  <sheetViews>
    <sheetView workbookViewId="0">
      <selection activeCell="F8" sqref="F8"/>
    </sheetView>
  </sheetViews>
  <sheetFormatPr defaultRowHeight="14.4" x14ac:dyDescent="0.3"/>
  <cols>
    <col min="2" max="6" width="20.77734375" customWidth="1"/>
  </cols>
  <sheetData>
    <row r="4" spans="2:8" x14ac:dyDescent="0.3">
      <c r="B4" t="s">
        <v>36</v>
      </c>
      <c r="C4" t="s">
        <v>37</v>
      </c>
      <c r="D4" t="s">
        <v>38</v>
      </c>
      <c r="E4" t="s">
        <v>39</v>
      </c>
      <c r="F4" t="s">
        <v>40</v>
      </c>
    </row>
    <row r="5" spans="2:8" ht="20.399999999999999" x14ac:dyDescent="0.3">
      <c r="B5" s="29">
        <v>44882</v>
      </c>
      <c r="C5" t="s">
        <v>43</v>
      </c>
      <c r="D5">
        <v>1002</v>
      </c>
      <c r="E5" s="5" t="s">
        <v>11</v>
      </c>
      <c r="F5">
        <v>8</v>
      </c>
    </row>
    <row r="6" spans="2:8" ht="20.399999999999999" x14ac:dyDescent="0.3">
      <c r="B6" s="29">
        <v>44883</v>
      </c>
      <c r="C6" t="s">
        <v>43</v>
      </c>
      <c r="D6">
        <v>1002</v>
      </c>
      <c r="E6" s="5" t="s">
        <v>11</v>
      </c>
      <c r="F6">
        <v>8</v>
      </c>
    </row>
    <row r="7" spans="2:8" ht="20.399999999999999" x14ac:dyDescent="0.3">
      <c r="B7" s="29">
        <v>44884</v>
      </c>
      <c r="C7" t="s">
        <v>43</v>
      </c>
      <c r="D7">
        <v>1002</v>
      </c>
      <c r="E7" s="5" t="s">
        <v>11</v>
      </c>
      <c r="F7">
        <v>2</v>
      </c>
    </row>
    <row r="10" spans="2:8" x14ac:dyDescent="0.3">
      <c r="B10" t="s">
        <v>51</v>
      </c>
      <c r="F10">
        <f>SUBTOTAL(109,pippo[Hours])</f>
        <v>18</v>
      </c>
    </row>
    <row r="11" spans="2:8" x14ac:dyDescent="0.3">
      <c r="H11">
        <v>9</v>
      </c>
    </row>
  </sheetData>
  <dataConsolidate/>
  <phoneticPr fontId="9" type="noConversion"/>
  <dataValidations count="2">
    <dataValidation type="date" operator="greaterThan" allowBlank="1" showInputMessage="1" showErrorMessage="1" sqref="B4:B9" xr:uid="{AE7C9975-6566-4B7E-B890-6D9AC3B1A01E}">
      <formula1>44562</formula1>
    </dataValidation>
    <dataValidation type="list" operator="equal" allowBlank="1" showInputMessage="1" showErrorMessage="1" sqref="C4:C9" xr:uid="{032A0CEF-129B-43DF-A33C-CC0FDB281082}">
      <formula1>"p2048,"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Addday_pippo">
              <controlPr defaultSize="0" print="0" autoFill="0" autoPict="0" macro="[0]!Addday_cb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Deliv_pippo">
              <controlPr defaultSize="0" print="0" autoFill="0" autoPict="0" macro="[0]!Deliv_cb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Control Panel</vt:lpstr>
      <vt:lpstr>FRTemplate</vt:lpstr>
      <vt:lpstr>Variables</vt:lpstr>
      <vt:lpstr>p2048</vt:lpstr>
      <vt:lpstr>pippo</vt:lpstr>
      <vt:lpstr>n_p2048_st</vt:lpstr>
      <vt:lpstr>n_p20480001_st</vt:lpstr>
      <vt:lpstr>n_p20481002_st</vt:lpstr>
      <vt:lpstr>n_pippo_st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StefanoParacchino</dc:creator>
  <cp:lastModifiedBy>StefanoParacchino</cp:lastModifiedBy>
  <dcterms:created xsi:type="dcterms:W3CDTF">2022-10-07T14:09:48Z</dcterms:created>
  <dcterms:modified xsi:type="dcterms:W3CDTF">2022-11-19T08:56:21Z</dcterms:modified>
</cp:coreProperties>
</file>