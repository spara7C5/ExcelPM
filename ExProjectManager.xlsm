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oParacchino\DEV\MYDEV\GIT\ExcelProjectManager\"/>
    </mc:Choice>
  </mc:AlternateContent>
  <xr:revisionPtr revIDLastSave="0" documentId="13_ncr:1_{E5294BE6-4EB1-47A6-8314-DD67F14EEC31}" xr6:coauthVersionLast="47" xr6:coauthVersionMax="47" xr10:uidLastSave="{00000000-0000-0000-0000-000000000000}"/>
  <bookViews>
    <workbookView xWindow="-108" yWindow="-108" windowWidth="23256" windowHeight="12456" activeTab="5" xr2:uid="{73E8ABFB-8EEA-4870-A284-22ED9B50B6C6}"/>
  </bookViews>
  <sheets>
    <sheet name="Control Panel" sheetId="179" r:id="rId1"/>
    <sheet name="FRTemplate" sheetId="5" r:id="rId2"/>
    <sheet name="Variables" sheetId="154" state="hidden" r:id="rId3"/>
    <sheet name="p1111" sheetId="250" r:id="rId4"/>
    <sheet name="p2222" sheetId="251" r:id="rId5"/>
    <sheet name="tizio" sheetId="252" r:id="rId6"/>
    <sheet name="caio" sheetId="253" r:id="rId7"/>
    <sheet name="p3333" sheetId="254" r:id="rId8"/>
  </sheets>
  <functionGroups builtInGroupCount="19"/>
  <definedNames>
    <definedName name="n_caio_st">Variables!$A$33:$A$34</definedName>
    <definedName name="n_p1111_st">Variables!$A$8:$A$11</definedName>
    <definedName name="n_p11110001_st">Variables!$A$2:$A$6</definedName>
    <definedName name="n_p11110002_st">Variables!$A$13:$A$17</definedName>
    <definedName name="n_p2222_st">Variables!$A$25:$A$28</definedName>
    <definedName name="n_p22220001_st">Variables!$A$19:$A$23</definedName>
    <definedName name="n_p3333_st">Variables!$A$42:$A$45</definedName>
    <definedName name="n_p333377777_st">Variables!$A$36:$A$40</definedName>
    <definedName name="n_tizio_st">Variables!$A$30:$A$31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54" l="1"/>
  <c r="D11" i="254"/>
  <c r="C11" i="254"/>
  <c r="B11" i="254"/>
  <c r="A11" i="254"/>
  <c r="G8" i="252"/>
  <c r="G9" i="253"/>
  <c r="H10" i="251"/>
  <c r="G10" i="251"/>
  <c r="F10" i="251"/>
  <c r="E10" i="251"/>
  <c r="D10" i="251"/>
  <c r="C10" i="251"/>
  <c r="B10" i="251"/>
  <c r="A10" i="251"/>
  <c r="F30" i="250"/>
  <c r="E30" i="250"/>
  <c r="D30" i="250"/>
  <c r="C30" i="250"/>
  <c r="B30" i="250"/>
  <c r="A30" i="250"/>
  <c r="F15" i="250"/>
  <c r="E15" i="250"/>
  <c r="D15" i="250"/>
  <c r="C15" i="250"/>
  <c r="B15" i="250"/>
  <c r="A15" i="250"/>
</calcChain>
</file>

<file path=xl/sharedStrings.xml><?xml version="1.0" encoding="utf-8"?>
<sst xmlns="http://schemas.openxmlformats.org/spreadsheetml/2006/main" count="167" uniqueCount="64">
  <si>
    <t>Owner</t>
  </si>
  <si>
    <t>SW Development Phases</t>
  </si>
  <si>
    <t>ITEM Work calculation at key-on</t>
  </si>
  <si>
    <t>Requirement Specification</t>
  </si>
  <si>
    <t>Requirement Specification Analysis</t>
  </si>
  <si>
    <t>FR Frozen</t>
  </si>
  <si>
    <t>Requirement Specification Analysis (Supervisor)</t>
  </si>
  <si>
    <t>Code Implementation</t>
  </si>
  <si>
    <t>Data structure implementation (Mercury)</t>
  </si>
  <si>
    <t>Modelling</t>
  </si>
  <si>
    <t>Modelling (Supervisor)</t>
  </si>
  <si>
    <t>Model Testing (MIL +  Model Advisor)</t>
  </si>
  <si>
    <t>Model Testing (MIL +  Model Advisor) (Supervisor)</t>
  </si>
  <si>
    <t>Design Frozen</t>
  </si>
  <si>
    <t>Code Integration in the ECU platform (with successful Compilation)</t>
  </si>
  <si>
    <t>Software Testing</t>
  </si>
  <si>
    <t>Unit Test + Polyspace</t>
  </si>
  <si>
    <t>Implemented</t>
  </si>
  <si>
    <t>Unit Test + Polyspace (Supervisor)</t>
  </si>
  <si>
    <t>Documentation</t>
  </si>
  <si>
    <t>Requirements Mapping (Polarion Connector)</t>
  </si>
  <si>
    <t>Delivery - Versioning</t>
  </si>
  <si>
    <t>SVN Versioning</t>
  </si>
  <si>
    <t>Delivered</t>
  </si>
  <si>
    <t>ClearCase + Polarion</t>
  </si>
  <si>
    <t>Post delivery</t>
  </si>
  <si>
    <t>Support Post Delivery</t>
  </si>
  <si>
    <t>Support Post Delivery (Supervisor)</t>
  </si>
  <si>
    <t>Other</t>
  </si>
  <si>
    <t xml:space="preserve"> Other</t>
  </si>
  <si>
    <t xml:space="preserve"> Other (Supervisor)</t>
  </si>
  <si>
    <t>Comments</t>
  </si>
  <si>
    <t>Final Effort</t>
  </si>
  <si>
    <t>Actual Effort</t>
  </si>
  <si>
    <t>Init Effort</t>
  </si>
  <si>
    <t>Task</t>
  </si>
  <si>
    <t>$A$1</t>
  </si>
  <si>
    <t>date</t>
  </si>
  <si>
    <t>Project</t>
  </si>
  <si>
    <t>FR</t>
  </si>
  <si>
    <t>Activity</t>
  </si>
  <si>
    <t>Column6</t>
  </si>
  <si>
    <t>Hours</t>
  </si>
  <si>
    <t>p2222</t>
  </si>
  <si>
    <t>p3333</t>
  </si>
  <si>
    <t>p11110001</t>
  </si>
  <si>
    <t>Total</t>
  </si>
  <si>
    <t>p1111</t>
  </si>
  <si>
    <t>tizio</t>
  </si>
  <si>
    <t>p22220001</t>
  </si>
  <si>
    <t>caio</t>
  </si>
  <si>
    <t>p11110002</t>
  </si>
  <si>
    <t>$A$2:$F$15</t>
  </si>
  <si>
    <t>$A$16</t>
  </si>
  <si>
    <t>$A$1:$F$13</t>
  </si>
  <si>
    <t>$A$17:$F$30</t>
  </si>
  <si>
    <t>$A$31</t>
  </si>
  <si>
    <t>$A$2:$H$10</t>
  </si>
  <si>
    <t>$A$11</t>
  </si>
  <si>
    <t>$A$1:$H$8</t>
  </si>
  <si>
    <t>p333377777</t>
  </si>
  <si>
    <t>$A$2:$E$11</t>
  </si>
  <si>
    <t>$A$12</t>
  </si>
  <si>
    <t>$A$1:$E$9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</si>
</sst>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1"/>
    </font>
    <font>
      <sz val="8"/>
      <name val="Arial"/>
      <family val="2"/>
      <charset val="1"/>
    </font>
    <font>
      <i/>
      <sz val="8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rgb="FFFFE4C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4" fillId="0" borderId="0"/>
  </cellStyleXfs>
  <cellXfs count="31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right" vertical="center"/>
    </xf>
    <xf numFmtId="164" fontId="3" fillId="4" borderId="1" xfId="0" applyNumberFormat="1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left" vertical="center"/>
    </xf>
    <xf numFmtId="164" fontId="5" fillId="5" borderId="5" xfId="1" applyNumberFormat="1" applyFont="1" applyFill="1" applyBorder="1" applyAlignment="1">
      <alignment horizontal="right" vertical="center"/>
    </xf>
    <xf numFmtId="0" fontId="2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right" vertical="center"/>
    </xf>
    <xf numFmtId="0" fontId="3" fillId="4" borderId="9" xfId="0" applyFont="1" applyFill="1" applyBorder="1" applyAlignment="1">
      <alignment horizontal="left" vertical="center" wrapText="1"/>
    </xf>
    <xf numFmtId="0" fontId="6" fillId="4" borderId="6" xfId="0" applyFont="1" applyFill="1" applyBorder="1" applyAlignment="1">
      <alignment horizontal="left" vertical="center"/>
    </xf>
    <xf numFmtId="164" fontId="3" fillId="4" borderId="8" xfId="0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center"/>
    </xf>
    <xf numFmtId="164" fontId="5" fillId="5" borderId="10" xfId="0" applyNumberFormat="1" applyFont="1" applyFill="1" applyBorder="1" applyAlignment="1" applyProtection="1">
      <alignment horizontal="right" vertical="center"/>
    </xf>
    <xf numFmtId="0" fontId="3" fillId="4" borderId="7" xfId="0" applyFont="1" applyFill="1" applyBorder="1" applyAlignment="1">
      <alignment horizontal="left" vertical="center"/>
    </xf>
  </cellXfs>
  <cellStyles count="2">
    <cellStyle name="Excel Built-in Normal" xfId="1" xr:uid="{97B716F5-B41A-48AC-9CAC-D73E2DE2674C}"/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10</xdr:row>
          <xdr:rowOff>144780</xdr:rowOff>
        </xdr:from>
        <xdr:to>
          <xdr:col>12</xdr:col>
          <xdr:colOff>38100</xdr:colOff>
          <xdr:row>13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64513" name="Addday_tizio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691E6D33-579B-B4F9-272C-B1F14739E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64514" name="Deliv_tizio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246EA665-116D-8304-D16F-C180526E0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65537" name="Addday_caio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727E8FCE-33D5-F112-17DB-08C2087BA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65538" name="Deliv_caio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1B0CCA60-D0BF-1278-972B-38F3F035D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9E02908-90E7-4887-9E1C-BDBC91A01AC5}" name="p11110001" displayName="p11110001" ref="A2:F15" totalsRowCount="1" headerRowDxfId="47" tableBorderDxfId="53">
  <autoFilter ref="A2:F14" xr:uid="{A9E02908-90E7-4887-9E1C-BDBC91A01AC5}"/>
  <tableColumns count="6">
    <tableColumn id="1" xr3:uid="{FCBC4CDD-8F7F-409A-A406-ACB533C63DEA}" name="SW Development Phases" totalsRowFunction="sum"/>
    <tableColumn id="2" xr3:uid="{227BFD18-361C-4F45-A865-D3070FFE4137}" name="Task" totalsRowFunction="sum" dataDxfId="52" totalsRowDxfId="29"/>
    <tableColumn id="3" xr3:uid="{F19CDAD9-9C57-4C7B-81F0-D17D3BF2079A}" name="Owner" totalsRowFunction="sum" dataDxfId="51" totalsRowDxfId="28"/>
    <tableColumn id="4" xr3:uid="{B4B3C98B-5BBE-4947-8B64-89A7329FAE2E}" name="Init Effort" totalsRowFunction="sum" dataDxfId="50" totalsRowDxfId="27"/>
    <tableColumn id="5" xr3:uid="{413720F6-3D9D-4FE4-9D56-4D7350CCCC1C}" name="Final Effort" totalsRowFunction="sum" dataDxfId="49" totalsRowDxfId="26" dataCellStyle="Excel Built-in Normal"/>
    <tableColumn id="6" xr3:uid="{888DC528-3736-4AF2-9937-F5B66834D6AD}" name="Actual Effort" totalsRowFunction="sum" dataDxfId="48" totalsRowDxfId="25" dataCellStyle="Excel Built-in 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C461420-5321-4957-9914-27E48AFA656C}" name="p11110002" displayName="p11110002" ref="A17:F30" totalsRowCount="1" headerRowDxfId="40" tableBorderDxfId="46">
  <autoFilter ref="A17:F29" xr:uid="{FC461420-5321-4957-9914-27E48AFA656C}"/>
  <tableColumns count="6">
    <tableColumn id="1" xr3:uid="{2C5E4061-A491-4C91-8A47-34DA7F9D61AF}" name="SW Development Phases" totalsRowFunction="sum"/>
    <tableColumn id="2" xr3:uid="{09AEC0BB-7129-45F8-B9FD-C1AC1F73A977}" name="Task" totalsRowFunction="sum" dataDxfId="45" totalsRowDxfId="24"/>
    <tableColumn id="3" xr3:uid="{F24A5637-C825-48FF-9C32-872737568391}" name="Owner" totalsRowFunction="sum" dataDxfId="44" totalsRowDxfId="23"/>
    <tableColumn id="4" xr3:uid="{B8616FD9-F1FF-498A-B2EE-FAF355034D2C}" name="Init Effort" totalsRowFunction="sum" dataDxfId="43" totalsRowDxfId="22"/>
    <tableColumn id="5" xr3:uid="{82EEC0A9-997C-4EF3-A23E-3C2E270E1E0D}" name="Final Effort" totalsRowFunction="sum" dataDxfId="42" totalsRowDxfId="21" dataCellStyle="Excel Built-in Normal"/>
    <tableColumn id="6" xr3:uid="{21BB280D-5460-4A1D-A346-BC0DAFA8A7F3}" name="Actual Effort" totalsRowFunction="sum" dataDxfId="41" totalsRowDxfId="20" dataCellStyle="Excel Built-in 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8014BD3-E403-42FC-A47C-5A91DC022C5D}" name="p22220001" displayName="p22220001" ref="A2:H10" totalsRowCount="1" headerRowDxfId="30" tableBorderDxfId="39">
  <autoFilter ref="A2:H9" xr:uid="{28014BD3-E403-42FC-A47C-5A91DC022C5D}"/>
  <tableColumns count="8">
    <tableColumn id="1" xr3:uid="{233C2515-C3DB-49FD-A4A8-FE38DE0CDCE9}" name="SW Development Phases" totalsRowFunction="sum" dataDxfId="38" totalsRowDxfId="19"/>
    <tableColumn id="2" xr3:uid="{93B3B989-E87C-4384-9D63-F9B997C69A99}" name="Task" totalsRowFunction="sum" dataDxfId="37" totalsRowDxfId="18"/>
    <tableColumn id="3" xr3:uid="{89236A9D-1D6B-4FFE-A966-AA5B3325EBB6}" name="Owner" totalsRowFunction="sum" dataDxfId="36" totalsRowDxfId="17"/>
    <tableColumn id="4" xr3:uid="{BD3F9FA0-63AA-4AA1-A076-B3993A24FE45}" name="Init Effort" totalsRowFunction="sum" dataDxfId="35" totalsRowDxfId="16"/>
    <tableColumn id="5" xr3:uid="{A0A23FEB-D634-406F-BE25-504DE02F0DDB}" name="Final Effort" totalsRowFunction="sum" dataDxfId="34" totalsRowDxfId="15" dataCellStyle="Excel Built-in Normal"/>
    <tableColumn id="6" xr3:uid="{FDC9C342-5783-4345-82BF-9C953243724E}" name="Actual Effort" totalsRowFunction="sum" dataDxfId="33" totalsRowDxfId="14" dataCellStyle="Excel Built-in Normal"/>
    <tableColumn id="7" xr3:uid="{0B19AEC2-1B4C-4C4F-9F16-509DA9B568D8}" name="Comments" totalsRowFunction="sum" dataDxfId="32" totalsRowDxfId="13"/>
    <tableColumn id="8" xr3:uid="{F06DB24F-0A84-48EB-ACAA-BDC7CD784587}" name="ITEM Work calculation at key-on" totalsRowFunction="sum" dataDxfId="31" totalsRow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8C245F8-0BC4-40C0-BCE1-ED29D9983706}" name="tizio" displayName="tizio" ref="B4:G8" totalsRowCount="1">
  <autoFilter ref="B4:G7" xr:uid="{C8C245F8-0BC4-40C0-BCE1-ED29D9983706}"/>
  <tableColumns count="6">
    <tableColumn id="1" xr3:uid="{DBBB232E-0469-4418-AB7A-E1367C2BF201}" name="date" totalsRowLabel="Total"/>
    <tableColumn id="2" xr3:uid="{8EF2D5F8-02E8-4D1A-A0BF-53C7D03ADF2E}" name="Project"/>
    <tableColumn id="3" xr3:uid="{1FB01404-F907-421D-8C1B-A4599DA0F6B0}" name="FR"/>
    <tableColumn id="4" xr3:uid="{DBCA1966-9129-4E01-A99B-A06916186794}" name="Activity"/>
    <tableColumn id="5" xr3:uid="{0EAEB185-4175-4040-B156-129288808108}" name="Hours"/>
    <tableColumn id="6" xr3:uid="{629D2FBB-E479-4272-8E39-45CF606B0028}" name="Column6" totalsRowFunction="count"/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FA05065-1CD3-471B-BA1D-A804F47F4C7C}" name="caio" displayName="caio" ref="B4:G9" totalsRowCount="1">
  <autoFilter ref="B4:G8" xr:uid="{4FA05065-1CD3-471B-BA1D-A804F47F4C7C}"/>
  <tableColumns count="6">
    <tableColumn id="1" xr3:uid="{7F32BD27-6E2B-496D-AE61-C1BE41DFB0A3}" name="date" totalsRowLabel="Total"/>
    <tableColumn id="2" xr3:uid="{CBE211C2-AD5B-4C3F-A522-717957488191}" name="Project"/>
    <tableColumn id="3" xr3:uid="{54798068-974D-48E5-A4E6-B6A4EC995258}" name="FR"/>
    <tableColumn id="4" xr3:uid="{5B10D564-A74F-4E3B-821A-6FE440C043A3}" name="Activity"/>
    <tableColumn id="5" xr3:uid="{0CBCB991-8441-452F-922D-32BE8F70B872}" name="Hours"/>
    <tableColumn id="6" xr3:uid="{3BCEE2BD-E781-4CE9-9009-20189008CD0C}" name="Column6" totalsRowFunction="count"/>
  </tableColumns>
  <tableStyleInfo name="TableStyleDark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E152532-CA39-4E83-896E-2ABBFCE2F4BF}" name="p333377777" displayName="p333377777" ref="A2:E11" totalsRowCount="1" headerRowDxfId="5" tableBorderDxfId="11">
  <autoFilter ref="A2:E10" xr:uid="{7E152532-CA39-4E83-896E-2ABBFCE2F4BF}"/>
  <tableColumns count="5">
    <tableColumn id="1" xr3:uid="{CF550E2C-9EE5-4D47-9EC6-4276CEE1FA42}" name="SW Development Phases" totalsRowFunction="sum" dataDxfId="10" totalsRowDxfId="4"/>
    <tableColumn id="2" xr3:uid="{E7203F41-4448-49C0-B6AC-14C9315A4A67}" name="Task" totalsRowFunction="sum" dataDxfId="9" totalsRowDxfId="3"/>
    <tableColumn id="3" xr3:uid="{5E70524D-40C9-4532-8233-E43DDE0BA755}" name="Owner" totalsRowFunction="sum" dataDxfId="8" totalsRowDxfId="2"/>
    <tableColumn id="4" xr3:uid="{1F0AD33C-F4EA-4A99-9AA0-90D9A6C34316}" name="Init Effort" totalsRowFunction="sum" dataDxfId="7" totalsRowDxfId="1"/>
    <tableColumn id="5" xr3:uid="{43A800C7-4656-4662-8F37-AC3F83DEEE1D}" name="Final Effort" totalsRowFunction="sum" dataDxfId="6" totalsRowDxfId="0" dataCellStyle="Excel Built-in 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4D3A-3D3A-44E1-8266-C8B97B70BD4C}">
  <sheetPr codeName="Sheet10"/>
  <dimension ref="A1"/>
  <sheetViews>
    <sheetView workbookViewId="0">
      <selection activeCell="K28" sqref="K28"/>
    </sheetView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3_Click">
                <anchor moveWithCells="1">
                  <from>
                    <xdr:col>8</xdr:col>
                    <xdr:colOff>167640</xdr:colOff>
                    <xdr:row>10</xdr:row>
                    <xdr:rowOff>144780</xdr:rowOff>
                  </from>
                  <to>
                    <xdr:col>12</xdr:col>
                    <xdr:colOff>38100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607-87E1-490C-8985-54EECD4D89FA}">
  <sheetPr codeName="Sheet5"/>
  <dimension ref="A1:H19"/>
  <sheetViews>
    <sheetView workbookViewId="0">
      <selection activeCell="K8" sqref="K8"/>
    </sheetView>
  </sheetViews>
  <sheetFormatPr defaultRowHeight="14.4" x14ac:dyDescent="0.3"/>
  <cols>
    <col min="1" max="1" width="18.4414062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ht="33" customHeight="1" x14ac:dyDescent="0.3">
      <c r="A1" s="1" t="s">
        <v>1</v>
      </c>
      <c r="B1" s="2" t="s">
        <v>35</v>
      </c>
      <c r="C1" s="4" t="s">
        <v>0</v>
      </c>
      <c r="D1" s="3" t="s">
        <v>34</v>
      </c>
      <c r="E1" s="3" t="s">
        <v>32</v>
      </c>
      <c r="F1" s="3" t="s">
        <v>33</v>
      </c>
      <c r="G1" s="4" t="s">
        <v>31</v>
      </c>
      <c r="H1" s="4" t="s">
        <v>2</v>
      </c>
    </row>
    <row r="2" spans="1:8" ht="20.399999999999999" x14ac:dyDescent="0.3">
      <c r="A2" s="13" t="s">
        <v>3</v>
      </c>
      <c r="B2" s="5" t="s">
        <v>4</v>
      </c>
      <c r="C2" s="6"/>
      <c r="D2" s="7"/>
      <c r="E2" s="10"/>
      <c r="F2" s="10"/>
      <c r="G2" s="8"/>
      <c r="H2" s="8"/>
    </row>
    <row r="3" spans="1:8" ht="30.6" x14ac:dyDescent="0.3">
      <c r="A3" s="11" t="s">
        <v>5</v>
      </c>
      <c r="B3" s="14" t="s">
        <v>6</v>
      </c>
      <c r="C3" s="6"/>
      <c r="D3" s="7"/>
      <c r="E3" s="10"/>
      <c r="F3" s="10"/>
      <c r="G3" s="8"/>
      <c r="H3" s="8"/>
    </row>
    <row r="4" spans="1:8" ht="20.399999999999999" x14ac:dyDescent="0.3">
      <c r="A4" s="13" t="s">
        <v>7</v>
      </c>
      <c r="B4" s="5" t="s">
        <v>8</v>
      </c>
      <c r="C4" s="6"/>
      <c r="D4" s="7"/>
      <c r="E4" s="10"/>
      <c r="F4" s="10"/>
      <c r="G4" s="8"/>
      <c r="H4" s="8"/>
    </row>
    <row r="5" spans="1:8" x14ac:dyDescent="0.3">
      <c r="A5" s="9"/>
      <c r="B5" s="5" t="s">
        <v>9</v>
      </c>
      <c r="C5" s="6"/>
      <c r="D5" s="7"/>
      <c r="E5" s="10"/>
      <c r="F5" s="10"/>
      <c r="G5" s="8"/>
      <c r="H5" s="8"/>
    </row>
    <row r="6" spans="1:8" x14ac:dyDescent="0.3">
      <c r="A6" s="9"/>
      <c r="B6" s="5" t="s">
        <v>10</v>
      </c>
      <c r="C6" s="6"/>
      <c r="D6" s="7"/>
      <c r="E6" s="10"/>
      <c r="F6" s="10"/>
      <c r="G6" s="8"/>
      <c r="H6" s="8"/>
    </row>
    <row r="7" spans="1:8" ht="20.399999999999999" x14ac:dyDescent="0.3">
      <c r="A7" s="9"/>
      <c r="B7" s="5" t="s">
        <v>11</v>
      </c>
      <c r="C7" s="6"/>
      <c r="D7" s="7"/>
      <c r="E7" s="10"/>
      <c r="F7" s="10"/>
      <c r="G7" s="8"/>
      <c r="H7" s="8"/>
    </row>
    <row r="8" spans="1:8" ht="30.6" x14ac:dyDescent="0.3">
      <c r="A8" s="11"/>
      <c r="B8" s="5" t="s">
        <v>12</v>
      </c>
      <c r="C8" s="6"/>
      <c r="D8" s="7"/>
      <c r="E8" s="10"/>
      <c r="F8" s="10"/>
      <c r="G8" s="8"/>
      <c r="H8" s="8"/>
    </row>
    <row r="9" spans="1:8" ht="30.6" x14ac:dyDescent="0.3">
      <c r="A9" s="11" t="s">
        <v>13</v>
      </c>
      <c r="B9" s="14" t="s">
        <v>14</v>
      </c>
      <c r="C9" s="6"/>
      <c r="D9" s="7"/>
      <c r="E9" s="10"/>
      <c r="F9" s="10"/>
      <c r="G9" s="8"/>
      <c r="H9" s="8"/>
    </row>
    <row r="10" spans="1:8" x14ac:dyDescent="0.3">
      <c r="A10" s="15" t="s">
        <v>15</v>
      </c>
      <c r="B10" s="5" t="s">
        <v>16</v>
      </c>
      <c r="C10" s="6"/>
      <c r="D10" s="7"/>
      <c r="E10" s="10"/>
      <c r="F10" s="10"/>
      <c r="G10" s="8"/>
      <c r="H10" s="8"/>
    </row>
    <row r="11" spans="1:8" ht="20.399999999999999" x14ac:dyDescent="0.3">
      <c r="A11" s="11" t="s">
        <v>17</v>
      </c>
      <c r="B11" s="14" t="s">
        <v>18</v>
      </c>
      <c r="C11" s="6"/>
      <c r="D11" s="7"/>
      <c r="E11" s="10"/>
      <c r="F11" s="10"/>
      <c r="G11" s="8"/>
      <c r="H11" s="8"/>
    </row>
    <row r="12" spans="1:8" x14ac:dyDescent="0.3">
      <c r="A12" s="15" t="s">
        <v>19</v>
      </c>
      <c r="B12" s="5" t="s">
        <v>19</v>
      </c>
      <c r="C12" s="6"/>
      <c r="D12" s="7"/>
      <c r="E12" s="10"/>
      <c r="F12" s="10"/>
      <c r="G12" s="8"/>
      <c r="H12" s="8"/>
    </row>
    <row r="13" spans="1:8" ht="20.399999999999999" x14ac:dyDescent="0.3">
      <c r="A13" s="9"/>
      <c r="B13" s="5" t="s">
        <v>20</v>
      </c>
      <c r="C13" s="6"/>
      <c r="D13" s="7"/>
      <c r="E13" s="10"/>
      <c r="F13" s="10"/>
      <c r="G13" s="8"/>
      <c r="H13" s="8"/>
    </row>
    <row r="14" spans="1:8" ht="20.399999999999999" customHeight="1" x14ac:dyDescent="0.3">
      <c r="A14" s="13" t="s">
        <v>21</v>
      </c>
      <c r="B14" s="9" t="s">
        <v>22</v>
      </c>
      <c r="C14" s="6"/>
      <c r="D14" s="7"/>
      <c r="E14" s="10"/>
      <c r="F14" s="10"/>
      <c r="G14" s="8"/>
      <c r="H14" s="8"/>
    </row>
    <row r="15" spans="1:8" x14ac:dyDescent="0.3">
      <c r="A15" s="11" t="s">
        <v>23</v>
      </c>
      <c r="B15" s="12" t="s">
        <v>24</v>
      </c>
      <c r="C15" s="6"/>
      <c r="D15" s="7"/>
      <c r="E15" s="10"/>
      <c r="F15" s="10"/>
      <c r="G15" s="8"/>
      <c r="H15" s="8"/>
    </row>
    <row r="16" spans="1:8" x14ac:dyDescent="0.3">
      <c r="A16" s="15" t="s">
        <v>25</v>
      </c>
      <c r="B16" s="12" t="s">
        <v>26</v>
      </c>
      <c r="C16" s="6"/>
      <c r="D16" s="7"/>
      <c r="E16" s="10"/>
      <c r="F16" s="10"/>
      <c r="G16" s="8"/>
      <c r="H16" s="8"/>
    </row>
    <row r="17" spans="1:8" ht="20.399999999999999" x14ac:dyDescent="0.3">
      <c r="A17" s="11"/>
      <c r="B17" s="12" t="s">
        <v>27</v>
      </c>
      <c r="C17" s="6"/>
      <c r="D17" s="7"/>
      <c r="E17" s="10"/>
      <c r="F17" s="10"/>
      <c r="G17" s="8"/>
      <c r="H17" s="8"/>
    </row>
    <row r="18" spans="1:8" x14ac:dyDescent="0.3">
      <c r="A18" s="15" t="s">
        <v>28</v>
      </c>
      <c r="B18" s="9" t="s">
        <v>29</v>
      </c>
      <c r="C18" s="6"/>
      <c r="D18" s="7"/>
      <c r="E18" s="10"/>
      <c r="F18" s="10"/>
      <c r="G18" s="8"/>
      <c r="H18" s="8"/>
    </row>
    <row r="19" spans="1:8" x14ac:dyDescent="0.3">
      <c r="A19" s="9"/>
      <c r="B19" s="9" t="s">
        <v>30</v>
      </c>
      <c r="C19" s="6"/>
      <c r="D19" s="7"/>
      <c r="E19" s="10"/>
      <c r="F19" s="10"/>
      <c r="G19" s="8"/>
      <c r="H19" s="8"/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47BF-7A9B-4F15-8291-3477E8B3B055}">
  <sheetPr codeName="Sheet1"/>
  <dimension ref="A2:A45"/>
  <sheetViews>
    <sheetView topLeftCell="A21" workbookViewId="0">
      <selection activeCell="M17" sqref="M17"/>
    </sheetView>
  </sheetViews>
  <sheetFormatPr defaultRowHeight="14.4" x14ac:dyDescent="0.3"/>
  <cols>
    <col min="1" max="1" width="14.21875" customWidth="1"/>
  </cols>
  <sheetData>
    <row r="2" spans="1:1" x14ac:dyDescent="0.3">
      <c r="A2">
        <v>0</v>
      </c>
    </row>
    <row r="3" spans="1:1" x14ac:dyDescent="0.3">
      <c r="A3" t="s">
        <v>47</v>
      </c>
    </row>
    <row r="4" spans="1:1" x14ac:dyDescent="0.3">
      <c r="A4" t="s">
        <v>45</v>
      </c>
    </row>
    <row r="5" spans="1:1" x14ac:dyDescent="0.3">
      <c r="A5" t="s">
        <v>36</v>
      </c>
    </row>
    <row r="6" spans="1:1" x14ac:dyDescent="0.3">
      <c r="A6" t="s">
        <v>52</v>
      </c>
    </row>
    <row r="8" spans="1:1" x14ac:dyDescent="0.3">
      <c r="A8">
        <v>1</v>
      </c>
    </row>
    <row r="9" spans="1:1" x14ac:dyDescent="0.3">
      <c r="A9" t="s">
        <v>47</v>
      </c>
    </row>
    <row r="10" spans="1:1" x14ac:dyDescent="0.3">
      <c r="A10" t="s">
        <v>56</v>
      </c>
    </row>
    <row r="11" spans="1:1" x14ac:dyDescent="0.3">
      <c r="A11" t="s">
        <v>54</v>
      </c>
    </row>
    <row r="13" spans="1:1" x14ac:dyDescent="0.3">
      <c r="A13">
        <v>0</v>
      </c>
    </row>
    <row r="14" spans="1:1" x14ac:dyDescent="0.3">
      <c r="A14" t="s">
        <v>47</v>
      </c>
    </row>
    <row r="15" spans="1:1" x14ac:dyDescent="0.3">
      <c r="A15" t="s">
        <v>51</v>
      </c>
    </row>
    <row r="16" spans="1:1" x14ac:dyDescent="0.3">
      <c r="A16" t="s">
        <v>53</v>
      </c>
    </row>
    <row r="17" spans="1:1" x14ac:dyDescent="0.3">
      <c r="A17" t="s">
        <v>55</v>
      </c>
    </row>
    <row r="19" spans="1:1" x14ac:dyDescent="0.3">
      <c r="A19">
        <v>0</v>
      </c>
    </row>
    <row r="20" spans="1:1" x14ac:dyDescent="0.3">
      <c r="A20" t="s">
        <v>43</v>
      </c>
    </row>
    <row r="21" spans="1:1" x14ac:dyDescent="0.3">
      <c r="A21" t="s">
        <v>49</v>
      </c>
    </row>
    <row r="22" spans="1:1" x14ac:dyDescent="0.3">
      <c r="A22" t="s">
        <v>36</v>
      </c>
    </row>
    <row r="23" spans="1:1" x14ac:dyDescent="0.3">
      <c r="A23" t="s">
        <v>57</v>
      </c>
    </row>
    <row r="25" spans="1:1" x14ac:dyDescent="0.3">
      <c r="A25">
        <v>1</v>
      </c>
    </row>
    <row r="26" spans="1:1" x14ac:dyDescent="0.3">
      <c r="A26" t="s">
        <v>43</v>
      </c>
    </row>
    <row r="27" spans="1:1" x14ac:dyDescent="0.3">
      <c r="A27" t="s">
        <v>58</v>
      </c>
    </row>
    <row r="28" spans="1:1" x14ac:dyDescent="0.3">
      <c r="A28" t="s">
        <v>59</v>
      </c>
    </row>
    <row r="30" spans="1:1" x14ac:dyDescent="0.3">
      <c r="A30">
        <v>2</v>
      </c>
    </row>
    <row r="31" spans="1:1" x14ac:dyDescent="0.3">
      <c r="A31" t="s">
        <v>48</v>
      </c>
    </row>
    <row r="33" spans="1:1" x14ac:dyDescent="0.3">
      <c r="A33">
        <v>2</v>
      </c>
    </row>
    <row r="34" spans="1:1" x14ac:dyDescent="0.3">
      <c r="A34" t="s">
        <v>50</v>
      </c>
    </row>
    <row r="36" spans="1:1" x14ac:dyDescent="0.3">
      <c r="A36">
        <v>0</v>
      </c>
    </row>
    <row r="37" spans="1:1" x14ac:dyDescent="0.3">
      <c r="A37" t="s">
        <v>44</v>
      </c>
    </row>
    <row r="38" spans="1:1" x14ac:dyDescent="0.3">
      <c r="A38" t="s">
        <v>60</v>
      </c>
    </row>
    <row r="39" spans="1:1" x14ac:dyDescent="0.3">
      <c r="A39" t="s">
        <v>36</v>
      </c>
    </row>
    <row r="40" spans="1:1" x14ac:dyDescent="0.3">
      <c r="A40" t="s">
        <v>61</v>
      </c>
    </row>
    <row r="42" spans="1:1" x14ac:dyDescent="0.3">
      <c r="A42">
        <v>1</v>
      </c>
    </row>
    <row r="43" spans="1:1" x14ac:dyDescent="0.3">
      <c r="A43" t="s">
        <v>44</v>
      </c>
    </row>
    <row r="44" spans="1:1" x14ac:dyDescent="0.3">
      <c r="A44" t="s">
        <v>62</v>
      </c>
    </row>
    <row r="45" spans="1:1" x14ac:dyDescent="0.3">
      <c r="A45" t="s">
        <v>63</v>
      </c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CBB07-1910-447D-BA92-82E2EECFD069}">
  <sheetPr codeName="Sheet25"/>
  <dimension ref="A1:F30"/>
  <sheetViews>
    <sheetView workbookViewId="0">
      <selection activeCell="A17" sqref="A17:F29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</cols>
  <sheetData>
    <row r="1" spans="1:6" x14ac:dyDescent="0.3">
      <c r="A1" s="28" t="s">
        <v>45</v>
      </c>
      <c r="B1" s="28"/>
      <c r="C1" s="28"/>
      <c r="D1" s="28"/>
      <c r="E1" s="28"/>
      <c r="F1" s="28"/>
    </row>
    <row r="2" spans="1:6" ht="20.399999999999999" x14ac:dyDescent="0.3">
      <c r="A2" s="19" t="s">
        <v>1</v>
      </c>
      <c r="B2" s="20" t="s">
        <v>35</v>
      </c>
      <c r="C2" s="21" t="s">
        <v>0</v>
      </c>
      <c r="D2" s="22" t="s">
        <v>34</v>
      </c>
      <c r="E2" s="22" t="s">
        <v>32</v>
      </c>
      <c r="F2" s="22" t="s">
        <v>33</v>
      </c>
    </row>
    <row r="3" spans="1:6" ht="20.399999999999999" x14ac:dyDescent="0.3">
      <c r="A3" s="16" t="s">
        <v>3</v>
      </c>
      <c r="B3" s="5" t="s">
        <v>4</v>
      </c>
      <c r="C3" s="6"/>
      <c r="D3" s="7"/>
      <c r="E3" s="10"/>
      <c r="F3" s="10"/>
    </row>
    <row r="4" spans="1:6" ht="30.6" x14ac:dyDescent="0.3">
      <c r="A4" s="17" t="s">
        <v>5</v>
      </c>
      <c r="B4" s="14" t="s">
        <v>6</v>
      </c>
      <c r="C4" s="6"/>
      <c r="D4" s="7"/>
      <c r="E4" s="10"/>
      <c r="F4" s="10"/>
    </row>
    <row r="5" spans="1:6" ht="20.399999999999999" x14ac:dyDescent="0.3">
      <c r="A5" s="16" t="s">
        <v>7</v>
      </c>
      <c r="B5" s="5" t="s">
        <v>8</v>
      </c>
      <c r="C5" s="6"/>
      <c r="D5" s="7"/>
      <c r="E5" s="10"/>
      <c r="F5" s="10"/>
    </row>
    <row r="6" spans="1:6" x14ac:dyDescent="0.3">
      <c r="A6" s="18"/>
      <c r="B6" s="5" t="s">
        <v>9</v>
      </c>
      <c r="C6" s="6"/>
      <c r="D6" s="7"/>
      <c r="E6" s="10"/>
      <c r="F6" s="10"/>
    </row>
    <row r="7" spans="1:6" x14ac:dyDescent="0.3">
      <c r="A7" s="18"/>
      <c r="B7" s="5" t="s">
        <v>10</v>
      </c>
      <c r="C7" s="6"/>
      <c r="D7" s="7"/>
      <c r="E7" s="10"/>
      <c r="F7" s="10"/>
    </row>
    <row r="8" spans="1:6" ht="20.399999999999999" x14ac:dyDescent="0.3">
      <c r="A8" s="18"/>
      <c r="B8" s="5" t="s">
        <v>11</v>
      </c>
      <c r="C8" s="6"/>
      <c r="D8" s="7"/>
      <c r="E8" s="10"/>
      <c r="F8" s="10"/>
    </row>
    <row r="9" spans="1:6" ht="30.6" x14ac:dyDescent="0.3">
      <c r="A9" s="17"/>
      <c r="B9" s="5" t="s">
        <v>12</v>
      </c>
      <c r="C9" s="6"/>
      <c r="D9" s="7"/>
      <c r="E9" s="10"/>
      <c r="F9" s="10"/>
    </row>
    <row r="10" spans="1:6" ht="30.6" x14ac:dyDescent="0.3">
      <c r="A10" s="17" t="s">
        <v>13</v>
      </c>
      <c r="B10" s="14" t="s">
        <v>14</v>
      </c>
      <c r="C10" s="6"/>
      <c r="D10" s="7"/>
      <c r="E10" s="10"/>
      <c r="F10" s="10"/>
    </row>
    <row r="11" spans="1:6" x14ac:dyDescent="0.3">
      <c r="A11" s="26" t="s">
        <v>15</v>
      </c>
      <c r="B11" s="5" t="s">
        <v>16</v>
      </c>
      <c r="C11" s="6"/>
      <c r="D11" s="7"/>
      <c r="E11" s="10"/>
      <c r="F11" s="10"/>
    </row>
    <row r="12" spans="1:6" ht="20.399999999999999" x14ac:dyDescent="0.3">
      <c r="A12" s="17" t="s">
        <v>17</v>
      </c>
      <c r="B12" s="14" t="s">
        <v>18</v>
      </c>
      <c r="C12" s="6"/>
      <c r="D12" s="7"/>
      <c r="E12" s="10"/>
      <c r="F12" s="10"/>
    </row>
    <row r="13" spans="1:6" x14ac:dyDescent="0.3">
      <c r="A13" s="26" t="s">
        <v>19</v>
      </c>
      <c r="B13" s="5" t="s">
        <v>19</v>
      </c>
      <c r="C13" s="6"/>
      <c r="D13" s="7"/>
      <c r="E13" s="10"/>
      <c r="F13" s="10"/>
    </row>
    <row r="14" spans="1:6" ht="20.399999999999999" x14ac:dyDescent="0.3">
      <c r="A14" s="18"/>
      <c r="B14" s="5" t="s">
        <v>20</v>
      </c>
      <c r="C14" s="6"/>
      <c r="D14" s="7"/>
      <c r="E14" s="10"/>
      <c r="F14" s="10"/>
    </row>
    <row r="15" spans="1:6" x14ac:dyDescent="0.3">
      <c r="A15">
        <f>SUBTOTAL(109,p11110001[SW Development Phases])</f>
        <v>0</v>
      </c>
      <c r="B15" s="25">
        <f>SUBTOTAL(109,p11110001[Task])</f>
        <v>0</v>
      </c>
      <c r="C15" s="23">
        <f>SUBTOTAL(109,p11110001[Owner])</f>
        <v>0</v>
      </c>
      <c r="D15" s="24">
        <f>SUBTOTAL(109,p11110001[Init Effort])</f>
        <v>0</v>
      </c>
      <c r="E15" s="29">
        <f>SUBTOTAL(109,p11110001[Final Effort])</f>
        <v>0</v>
      </c>
      <c r="F15" s="29">
        <f>SUBTOTAL(109,p11110001[Actual Effort])</f>
        <v>0</v>
      </c>
    </row>
    <row r="16" spans="1:6" x14ac:dyDescent="0.3">
      <c r="A16" s="28" t="s">
        <v>51</v>
      </c>
      <c r="B16" s="28"/>
      <c r="C16" s="28"/>
      <c r="D16" s="28"/>
      <c r="E16" s="28"/>
      <c r="F16" s="28"/>
    </row>
    <row r="17" spans="1:6" ht="20.399999999999999" x14ac:dyDescent="0.3">
      <c r="A17" s="19" t="s">
        <v>1</v>
      </c>
      <c r="B17" s="20" t="s">
        <v>35</v>
      </c>
      <c r="C17" s="21" t="s">
        <v>0</v>
      </c>
      <c r="D17" s="22" t="s">
        <v>34</v>
      </c>
      <c r="E17" s="22" t="s">
        <v>32</v>
      </c>
      <c r="F17" s="22" t="s">
        <v>33</v>
      </c>
    </row>
    <row r="18" spans="1:6" ht="20.399999999999999" x14ac:dyDescent="0.3">
      <c r="A18" s="16" t="s">
        <v>3</v>
      </c>
      <c r="B18" s="5" t="s">
        <v>4</v>
      </c>
      <c r="C18" s="6"/>
      <c r="D18" s="7"/>
      <c r="E18" s="10"/>
      <c r="F18" s="10"/>
    </row>
    <row r="19" spans="1:6" ht="30.6" x14ac:dyDescent="0.3">
      <c r="A19" s="17" t="s">
        <v>5</v>
      </c>
      <c r="B19" s="14" t="s">
        <v>6</v>
      </c>
      <c r="C19" s="6"/>
      <c r="D19" s="7"/>
      <c r="E19" s="10"/>
      <c r="F19" s="10"/>
    </row>
    <row r="20" spans="1:6" ht="20.399999999999999" x14ac:dyDescent="0.3">
      <c r="A20" s="16" t="s">
        <v>7</v>
      </c>
      <c r="B20" s="5" t="s">
        <v>8</v>
      </c>
      <c r="C20" s="6"/>
      <c r="D20" s="7"/>
      <c r="E20" s="10"/>
      <c r="F20" s="10"/>
    </row>
    <row r="21" spans="1:6" x14ac:dyDescent="0.3">
      <c r="A21" s="18"/>
      <c r="B21" s="5" t="s">
        <v>9</v>
      </c>
      <c r="C21" s="6"/>
      <c r="D21" s="7"/>
      <c r="E21" s="10"/>
      <c r="F21" s="10"/>
    </row>
    <row r="22" spans="1:6" x14ac:dyDescent="0.3">
      <c r="A22" s="18"/>
      <c r="B22" s="5" t="s">
        <v>10</v>
      </c>
      <c r="C22" s="6"/>
      <c r="D22" s="7"/>
      <c r="E22" s="10"/>
      <c r="F22" s="10"/>
    </row>
    <row r="23" spans="1:6" ht="20.399999999999999" x14ac:dyDescent="0.3">
      <c r="A23" s="18"/>
      <c r="B23" s="5" t="s">
        <v>11</v>
      </c>
      <c r="C23" s="6"/>
      <c r="D23" s="7"/>
      <c r="E23" s="10"/>
      <c r="F23" s="10"/>
    </row>
    <row r="24" spans="1:6" ht="30.6" x14ac:dyDescent="0.3">
      <c r="A24" s="17"/>
      <c r="B24" s="5" t="s">
        <v>12</v>
      </c>
      <c r="C24" s="6"/>
      <c r="D24" s="7"/>
      <c r="E24" s="10"/>
      <c r="F24" s="10"/>
    </row>
    <row r="25" spans="1:6" ht="30.6" x14ac:dyDescent="0.3">
      <c r="A25" s="17" t="s">
        <v>13</v>
      </c>
      <c r="B25" s="14" t="s">
        <v>14</v>
      </c>
      <c r="C25" s="6"/>
      <c r="D25" s="7"/>
      <c r="E25" s="10"/>
      <c r="F25" s="10"/>
    </row>
    <row r="26" spans="1:6" x14ac:dyDescent="0.3">
      <c r="A26" s="26" t="s">
        <v>15</v>
      </c>
      <c r="B26" s="5" t="s">
        <v>16</v>
      </c>
      <c r="C26" s="6"/>
      <c r="D26" s="7"/>
      <c r="E26" s="10"/>
      <c r="F26" s="10"/>
    </row>
    <row r="27" spans="1:6" ht="20.399999999999999" x14ac:dyDescent="0.3">
      <c r="A27" s="17" t="s">
        <v>17</v>
      </c>
      <c r="B27" s="14" t="s">
        <v>18</v>
      </c>
      <c r="C27" s="6"/>
      <c r="D27" s="7"/>
      <c r="E27" s="10"/>
      <c r="F27" s="10"/>
    </row>
    <row r="28" spans="1:6" x14ac:dyDescent="0.3">
      <c r="A28" s="26" t="s">
        <v>19</v>
      </c>
      <c r="B28" s="5" t="s">
        <v>19</v>
      </c>
      <c r="C28" s="6"/>
      <c r="D28" s="7"/>
      <c r="E28" s="10"/>
      <c r="F28" s="10"/>
    </row>
    <row r="29" spans="1:6" ht="20.399999999999999" x14ac:dyDescent="0.3">
      <c r="A29" s="18"/>
      <c r="B29" s="5" t="s">
        <v>20</v>
      </c>
      <c r="C29" s="6"/>
      <c r="D29" s="7"/>
      <c r="E29" s="10"/>
      <c r="F29" s="10"/>
    </row>
    <row r="30" spans="1:6" x14ac:dyDescent="0.3">
      <c r="A30">
        <f>SUBTOTAL(109,p11110002[SW Development Phases])</f>
        <v>0</v>
      </c>
      <c r="B30" s="25">
        <f>SUBTOTAL(109,p11110002[Task])</f>
        <v>0</v>
      </c>
      <c r="C30" s="23">
        <f>SUBTOTAL(109,p11110002[Owner])</f>
        <v>0</v>
      </c>
      <c r="D30" s="24">
        <f>SUBTOTAL(109,p11110002[Init Effort])</f>
        <v>0</v>
      </c>
      <c r="E30" s="29">
        <f>SUBTOTAL(109,p11110002[Final Effort])</f>
        <v>0</v>
      </c>
      <c r="F30" s="29">
        <f>SUBTOTAL(109,p11110002[Actual Effort])</f>
        <v>0</v>
      </c>
    </row>
  </sheetData>
  <mergeCells count="2">
    <mergeCell ref="A1:F1"/>
    <mergeCell ref="A16:F16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0053B-4960-44CB-97C7-9FB6972AAFD6}">
  <sheetPr codeName="Sheet26"/>
  <dimension ref="A1:H10"/>
  <sheetViews>
    <sheetView workbookViewId="0">
      <selection activeCell="A2" sqref="A2:H9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x14ac:dyDescent="0.3">
      <c r="A1" s="28" t="s">
        <v>49</v>
      </c>
      <c r="B1" s="28"/>
      <c r="C1" s="28"/>
      <c r="D1" s="28"/>
      <c r="E1" s="28"/>
      <c r="F1" s="28"/>
      <c r="G1" s="28"/>
      <c r="H1" s="28"/>
    </row>
    <row r="2" spans="1:8" ht="20.399999999999999" x14ac:dyDescent="0.3">
      <c r="A2" s="19" t="s">
        <v>1</v>
      </c>
      <c r="B2" s="20" t="s">
        <v>35</v>
      </c>
      <c r="C2" s="21" t="s">
        <v>0</v>
      </c>
      <c r="D2" s="22" t="s">
        <v>34</v>
      </c>
      <c r="E2" s="22" t="s">
        <v>32</v>
      </c>
      <c r="F2" s="22" t="s">
        <v>33</v>
      </c>
      <c r="G2" s="21" t="s">
        <v>31</v>
      </c>
      <c r="H2" s="21" t="s">
        <v>2</v>
      </c>
    </row>
    <row r="3" spans="1:8" ht="20.399999999999999" x14ac:dyDescent="0.3">
      <c r="A3" s="16" t="s">
        <v>3</v>
      </c>
      <c r="B3" s="5" t="s">
        <v>4</v>
      </c>
      <c r="C3" s="6"/>
      <c r="D3" s="7"/>
      <c r="E3" s="10"/>
      <c r="F3" s="10"/>
      <c r="G3" s="8"/>
      <c r="H3" s="8"/>
    </row>
    <row r="4" spans="1:8" ht="30.6" x14ac:dyDescent="0.3">
      <c r="A4" s="17" t="s">
        <v>5</v>
      </c>
      <c r="B4" s="14" t="s">
        <v>6</v>
      </c>
      <c r="C4" s="6"/>
      <c r="D4" s="7"/>
      <c r="E4" s="10"/>
      <c r="F4" s="10"/>
      <c r="G4" s="8"/>
      <c r="H4" s="8"/>
    </row>
    <row r="5" spans="1:8" ht="20.399999999999999" x14ac:dyDescent="0.3">
      <c r="A5" s="16" t="s">
        <v>7</v>
      </c>
      <c r="B5" s="5" t="s">
        <v>8</v>
      </c>
      <c r="C5" s="6"/>
      <c r="D5" s="7"/>
      <c r="E5" s="10"/>
      <c r="F5" s="10"/>
      <c r="G5" s="8"/>
      <c r="H5" s="8"/>
    </row>
    <row r="6" spans="1:8" x14ac:dyDescent="0.3">
      <c r="A6" s="18"/>
      <c r="B6" s="5" t="s">
        <v>9</v>
      </c>
      <c r="C6" s="6"/>
      <c r="D6" s="7"/>
      <c r="E6" s="10"/>
      <c r="F6" s="10"/>
      <c r="G6" s="8"/>
      <c r="H6" s="8"/>
    </row>
    <row r="7" spans="1:8" x14ac:dyDescent="0.3">
      <c r="A7" s="18"/>
      <c r="B7" s="5" t="s">
        <v>10</v>
      </c>
      <c r="C7" s="6"/>
      <c r="D7" s="7"/>
      <c r="E7" s="10"/>
      <c r="F7" s="10"/>
      <c r="G7" s="8"/>
      <c r="H7" s="8"/>
    </row>
    <row r="8" spans="1:8" ht="20.399999999999999" x14ac:dyDescent="0.3">
      <c r="A8" s="18"/>
      <c r="B8" s="5" t="s">
        <v>11</v>
      </c>
      <c r="C8" s="6"/>
      <c r="D8" s="7"/>
      <c r="E8" s="10"/>
      <c r="F8" s="10"/>
      <c r="G8" s="8"/>
      <c r="H8" s="8"/>
    </row>
    <row r="9" spans="1:8" ht="30.6" x14ac:dyDescent="0.3">
      <c r="A9" s="17"/>
      <c r="B9" s="5" t="s">
        <v>12</v>
      </c>
      <c r="C9" s="6"/>
      <c r="D9" s="7"/>
      <c r="E9" s="10"/>
      <c r="F9" s="10"/>
      <c r="G9" s="8"/>
      <c r="H9" s="8"/>
    </row>
    <row r="10" spans="1:8" x14ac:dyDescent="0.3">
      <c r="A10" s="30">
        <f>SUBTOTAL(109,p22220001[SW Development Phases])</f>
        <v>0</v>
      </c>
      <c r="B10" s="25">
        <f>SUBTOTAL(109,p22220001[Task])</f>
        <v>0</v>
      </c>
      <c r="C10" s="23">
        <f>SUBTOTAL(109,p22220001[Owner])</f>
        <v>0</v>
      </c>
      <c r="D10" s="24">
        <f>SUBTOTAL(109,p22220001[Init Effort])</f>
        <v>0</v>
      </c>
      <c r="E10" s="29">
        <f>SUBTOTAL(109,p22220001[Final Effort])</f>
        <v>0</v>
      </c>
      <c r="F10" s="29">
        <f>SUBTOTAL(109,p22220001[Actual Effort])</f>
        <v>0</v>
      </c>
      <c r="G10" s="27">
        <f>SUBTOTAL(109,p22220001[Comments])</f>
        <v>0</v>
      </c>
      <c r="H10" s="27">
        <f>SUBTOTAL(109,p22220001[ITEM Work calculation at key-on])</f>
        <v>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F637-8F82-468B-ADE8-AEE60C3B657A}">
  <sheetPr codeName="Sheet27"/>
  <dimension ref="B4:G8"/>
  <sheetViews>
    <sheetView tabSelected="1" workbookViewId="0">
      <selection activeCell="C5" sqref="C5"/>
    </sheetView>
  </sheetViews>
  <sheetFormatPr defaultRowHeight="14.4" x14ac:dyDescent="0.3"/>
  <cols>
    <col min="2" max="6" width="20.77734375" customWidth="1"/>
  </cols>
  <sheetData>
    <row r="4" spans="2:7" x14ac:dyDescent="0.3">
      <c r="B4" t="s">
        <v>37</v>
      </c>
      <c r="C4" t="s">
        <v>38</v>
      </c>
      <c r="D4" t="s">
        <v>39</v>
      </c>
      <c r="E4" t="s">
        <v>40</v>
      </c>
      <c r="F4" t="s">
        <v>42</v>
      </c>
      <c r="G4" t="s">
        <v>41</v>
      </c>
    </row>
    <row r="8" spans="2:7" x14ac:dyDescent="0.3">
      <c r="B8" t="s">
        <v>46</v>
      </c>
      <c r="G8">
        <f>SUBTOTAL(103,tizio[Column6])</f>
        <v>0</v>
      </c>
    </row>
  </sheetData>
  <phoneticPr fontId="9" type="noConversion"/>
  <dataValidations count="2">
    <dataValidation type="date" operator="greaterThan" allowBlank="1" showInputMessage="1" showErrorMessage="1" sqref="B4:B7" xr:uid="{CF7838EE-9424-453D-93A7-EFE4CD12E5BF}">
      <formula1>44562</formula1>
    </dataValidation>
    <dataValidation type="list" operator="equal" allowBlank="1" showInputMessage="1" showErrorMessage="1" sqref="C4:C8" xr:uid="{CAE41B5A-A672-4CFD-9CA8-67F95C1E9111}">
      <formula1>"p1111,p2222,p3333"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Addday_tizio">
              <controlPr defaultSize="0" print="0" autoFill="0" autoPict="0" macro="[0]!Addday_cb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Deliv_tizio">
              <controlPr defaultSize="0" print="0" autoFill="0" autoPict="0" macro="[0]!Deliv_cb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D18-A007-45D7-AAF5-A643B8099917}">
  <sheetPr codeName="Sheet28"/>
  <dimension ref="B4:G9"/>
  <sheetViews>
    <sheetView workbookViewId="0">
      <selection activeCell="C5" sqref="C5"/>
    </sheetView>
  </sheetViews>
  <sheetFormatPr defaultRowHeight="14.4" x14ac:dyDescent="0.3"/>
  <cols>
    <col min="2" max="6" width="20.77734375" customWidth="1"/>
  </cols>
  <sheetData>
    <row r="4" spans="2:7" x14ac:dyDescent="0.3">
      <c r="B4" t="s">
        <v>37</v>
      </c>
      <c r="C4" t="s">
        <v>38</v>
      </c>
      <c r="D4" t="s">
        <v>39</v>
      </c>
      <c r="E4" t="s">
        <v>40</v>
      </c>
      <c r="F4" t="s">
        <v>42</v>
      </c>
      <c r="G4" t="s">
        <v>41</v>
      </c>
    </row>
    <row r="9" spans="2:7" x14ac:dyDescent="0.3">
      <c r="B9" t="s">
        <v>46</v>
      </c>
      <c r="G9">
        <f>SUBTOTAL(103,caio[Column6])</f>
        <v>0</v>
      </c>
    </row>
  </sheetData>
  <phoneticPr fontId="9" type="noConversion"/>
  <dataValidations count="2">
    <dataValidation type="date" operator="greaterThan" allowBlank="1" showInputMessage="1" showErrorMessage="1" sqref="B4:B8" xr:uid="{6BB3BE74-DB9D-4B8D-ADB6-DA9DABCF0F6C}">
      <formula1>44562</formula1>
    </dataValidation>
    <dataValidation type="list" operator="equal" allowBlank="1" showInputMessage="1" showErrorMessage="1" sqref="C4:C9" xr:uid="{7ADFE553-DC4F-4570-89E2-D1BABE0DF114}">
      <formula1>"p1111,p2222,p3333"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Addday_caio">
              <controlPr defaultSize="0" print="0" autoFill="0" autoPict="0" macro="[0]!Addday_cb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Deliv_caio">
              <controlPr defaultSize="0" print="0" autoFill="0" autoPict="0" macro="[0]!Deliv_cb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E7FB-8038-4709-A032-D532B8D83C60}">
  <sheetPr codeName="Sheet29"/>
  <dimension ref="A1:E11"/>
  <sheetViews>
    <sheetView workbookViewId="0">
      <selection activeCell="A2" sqref="A2:E10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</cols>
  <sheetData>
    <row r="1" spans="1:5" x14ac:dyDescent="0.3">
      <c r="A1" s="28" t="s">
        <v>60</v>
      </c>
      <c r="B1" s="28"/>
      <c r="C1" s="28"/>
      <c r="D1" s="28"/>
      <c r="E1" s="28"/>
    </row>
    <row r="2" spans="1:5" ht="20.399999999999999" x14ac:dyDescent="0.3">
      <c r="A2" s="19" t="s">
        <v>1</v>
      </c>
      <c r="B2" s="20" t="s">
        <v>35</v>
      </c>
      <c r="C2" s="21" t="s">
        <v>0</v>
      </c>
      <c r="D2" s="22" t="s">
        <v>34</v>
      </c>
      <c r="E2" s="22" t="s">
        <v>32</v>
      </c>
    </row>
    <row r="3" spans="1:5" ht="20.399999999999999" x14ac:dyDescent="0.3">
      <c r="A3" s="16" t="s">
        <v>3</v>
      </c>
      <c r="B3" s="5" t="s">
        <v>4</v>
      </c>
      <c r="C3" s="6"/>
      <c r="D3" s="7"/>
      <c r="E3" s="10"/>
    </row>
    <row r="4" spans="1:5" ht="30.6" x14ac:dyDescent="0.3">
      <c r="A4" s="17" t="s">
        <v>5</v>
      </c>
      <c r="B4" s="14" t="s">
        <v>6</v>
      </c>
      <c r="C4" s="6"/>
      <c r="D4" s="7"/>
      <c r="E4" s="10"/>
    </row>
    <row r="5" spans="1:5" ht="20.399999999999999" x14ac:dyDescent="0.3">
      <c r="A5" s="16" t="s">
        <v>7</v>
      </c>
      <c r="B5" s="5" t="s">
        <v>8</v>
      </c>
      <c r="C5" s="6"/>
      <c r="D5" s="7"/>
      <c r="E5" s="10"/>
    </row>
    <row r="6" spans="1:5" x14ac:dyDescent="0.3">
      <c r="A6" s="18"/>
      <c r="B6" s="5" t="s">
        <v>9</v>
      </c>
      <c r="C6" s="6"/>
      <c r="D6" s="7"/>
      <c r="E6" s="10"/>
    </row>
    <row r="7" spans="1:5" x14ac:dyDescent="0.3">
      <c r="A7" s="18"/>
      <c r="B7" s="5" t="s">
        <v>10</v>
      </c>
      <c r="C7" s="6"/>
      <c r="D7" s="7"/>
      <c r="E7" s="10"/>
    </row>
    <row r="8" spans="1:5" ht="20.399999999999999" x14ac:dyDescent="0.3">
      <c r="A8" s="18"/>
      <c r="B8" s="5" t="s">
        <v>11</v>
      </c>
      <c r="C8" s="6"/>
      <c r="D8" s="7"/>
      <c r="E8" s="10"/>
    </row>
    <row r="9" spans="1:5" ht="30.6" x14ac:dyDescent="0.3">
      <c r="A9" s="17"/>
      <c r="B9" s="5" t="s">
        <v>12</v>
      </c>
      <c r="C9" s="6"/>
      <c r="D9" s="7"/>
      <c r="E9" s="10"/>
    </row>
    <row r="10" spans="1:5" ht="30.6" x14ac:dyDescent="0.3">
      <c r="A10" s="17" t="s">
        <v>13</v>
      </c>
      <c r="B10" s="14" t="s">
        <v>14</v>
      </c>
      <c r="C10" s="6"/>
      <c r="D10" s="7"/>
      <c r="E10" s="10"/>
    </row>
    <row r="11" spans="1:5" x14ac:dyDescent="0.3">
      <c r="A11" s="30">
        <f>SUBTOTAL(109,p333377777[SW Development Phases])</f>
        <v>0</v>
      </c>
      <c r="B11" s="25">
        <f>SUBTOTAL(109,p333377777[Task])</f>
        <v>0</v>
      </c>
      <c r="C11" s="23">
        <f>SUBTOTAL(109,p333377777[Owner])</f>
        <v>0</v>
      </c>
      <c r="D11" s="24">
        <f>SUBTOTAL(109,p333377777[Init Effort])</f>
        <v>0</v>
      </c>
      <c r="E11" s="29">
        <f>SUBTOTAL(109,p333377777[Final Effort])</f>
        <v>0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Control Panel</vt:lpstr>
      <vt:lpstr>FRTemplate</vt:lpstr>
      <vt:lpstr>Variables</vt:lpstr>
      <vt:lpstr>p1111</vt:lpstr>
      <vt:lpstr>p2222</vt:lpstr>
      <vt:lpstr>tizio</vt:lpstr>
      <vt:lpstr>caio</vt:lpstr>
      <vt:lpstr>p3333</vt:lpstr>
      <vt:lpstr>n_caio_st</vt:lpstr>
      <vt:lpstr>n_p1111_st</vt:lpstr>
      <vt:lpstr>n_p11110001_st</vt:lpstr>
      <vt:lpstr>n_p11110002_st</vt:lpstr>
      <vt:lpstr>n_p2222_st</vt:lpstr>
      <vt:lpstr>n_p22220001_st</vt:lpstr>
      <vt:lpstr>n_p3333_st</vt:lpstr>
      <vt:lpstr>n_p333377777_st</vt:lpstr>
      <vt:lpstr>n_tizio_st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StefanoParacchino</dc:creator>
  <cp:lastModifiedBy>StefanoParacchino</cp:lastModifiedBy>
  <dcterms:created xsi:type="dcterms:W3CDTF">2022-10-07T14:09:48Z</dcterms:created>
  <dcterms:modified xsi:type="dcterms:W3CDTF">2022-11-17T00:05:40Z</dcterms:modified>
</cp:coreProperties>
</file>